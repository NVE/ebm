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nveazure.sharepoint.com/sites/PROSJ-Bedre_Kraftmarkedsmodeller/Delte dokumenter/Energibruksmodell/1 - Sprinter/Sprint 29/"/>
    </mc:Choice>
  </mc:AlternateContent>
  <xr:revisionPtr revIDLastSave="944" documentId="8_{0BDA85EA-72D4-4DA1-8531-907CD9EC1521}" xr6:coauthVersionLast="47" xr6:coauthVersionMax="47" xr10:uidLastSave="{7B0F126E-3DF8-426D-ACE8-26599D4922E7}"/>
  <bookViews>
    <workbookView xWindow="28680" yWindow="-120" windowWidth="29040" windowHeight="17520" xr2:uid="{00000000-000D-0000-FFFF-FFFF00000000}"/>
  </bookViews>
  <sheets>
    <sheet name="Vårt 2025" sheetId="8" r:id="rId1"/>
    <sheet name="Elektrisitet" sheetId="9" r:id="rId2"/>
    <sheet name="Bio" sheetId="2" r:id="rId3"/>
    <sheet name="VP" sheetId="4" r:id="rId4"/>
    <sheet name="FV" sheetId="5" r:id="rId5"/>
    <sheet name="Boligbygging"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8" l="1"/>
  <c r="C11" i="8"/>
  <c r="V65" i="2"/>
  <c r="Y28" i="8" l="1"/>
  <c r="Y24" i="8"/>
  <c r="X29" i="8"/>
  <c r="E19" i="8"/>
  <c r="O20" i="8"/>
  <c r="L34" i="9"/>
  <c r="X34" i="8" l="1"/>
  <c r="X40" i="8" s="1"/>
  <c r="Y34" i="8"/>
  <c r="F35" i="8"/>
  <c r="G35" i="8"/>
  <c r="G40" i="8" s="1"/>
  <c r="H35" i="8"/>
  <c r="H42" i="8" s="1"/>
  <c r="I35" i="8"/>
  <c r="I40" i="8" s="1"/>
  <c r="J35" i="8"/>
  <c r="J40" i="8" s="1"/>
  <c r="K35" i="8"/>
  <c r="K42" i="8" s="1"/>
  <c r="L35" i="8"/>
  <c r="L40" i="8" s="1"/>
  <c r="M35" i="8"/>
  <c r="M40" i="8" s="1"/>
  <c r="N35" i="8"/>
  <c r="N40" i="8" s="1"/>
  <c r="O35" i="8"/>
  <c r="O40" i="8" s="1"/>
  <c r="P35" i="8"/>
  <c r="P40" i="8" s="1"/>
  <c r="Q35" i="8"/>
  <c r="Q40" i="8" s="1"/>
  <c r="R35" i="8"/>
  <c r="S35" i="8"/>
  <c r="S40" i="8" s="1"/>
  <c r="T35" i="8"/>
  <c r="T40" i="8" s="1"/>
  <c r="U35" i="8"/>
  <c r="U40" i="8" s="1"/>
  <c r="V35" i="8"/>
  <c r="V40" i="8" s="1"/>
  <c r="W35" i="8"/>
  <c r="W40" i="8" s="1"/>
  <c r="X35" i="8"/>
  <c r="F41" i="8"/>
  <c r="G41" i="8"/>
  <c r="I41" i="8"/>
  <c r="J41" i="8"/>
  <c r="L41" i="8"/>
  <c r="M41" i="8"/>
  <c r="N41" i="8"/>
  <c r="O41" i="8"/>
  <c r="P41" i="8"/>
  <c r="Q41" i="8"/>
  <c r="R41" i="8"/>
  <c r="S41" i="8"/>
  <c r="T41" i="8"/>
  <c r="U41" i="8"/>
  <c r="V41" i="8"/>
  <c r="W41" i="8"/>
  <c r="X38" i="8"/>
  <c r="X39" i="8"/>
  <c r="U34" i="9"/>
  <c r="T34" i="9"/>
  <c r="S34" i="9"/>
  <c r="R34" i="9"/>
  <c r="S36" i="9" s="1"/>
  <c r="Q34" i="9"/>
  <c r="P34" i="9"/>
  <c r="O34" i="9"/>
  <c r="N34" i="9"/>
  <c r="M34" i="9"/>
  <c r="B92" i="5"/>
  <c r="Y22" i="8"/>
  <c r="X19" i="8"/>
  <c r="X30" i="8" s="1"/>
  <c r="W19" i="8"/>
  <c r="W30" i="8" s="1"/>
  <c r="V19" i="8"/>
  <c r="V30" i="8" s="1"/>
  <c r="U19" i="8"/>
  <c r="U30" i="8" s="1"/>
  <c r="T19" i="8"/>
  <c r="T30" i="8" s="1"/>
  <c r="S19" i="8"/>
  <c r="S30" i="8" s="1"/>
  <c r="R19" i="8"/>
  <c r="R30" i="8" s="1"/>
  <c r="Q19" i="8"/>
  <c r="Q30" i="8" s="1"/>
  <c r="P19" i="8"/>
  <c r="P30" i="8" s="1"/>
  <c r="O19" i="8"/>
  <c r="O30" i="8" s="1"/>
  <c r="N19" i="8"/>
  <c r="M19" i="8"/>
  <c r="L19" i="8"/>
  <c r="K19" i="8"/>
  <c r="J19" i="8"/>
  <c r="I19" i="8"/>
  <c r="H19" i="8"/>
  <c r="G19" i="8"/>
  <c r="F19" i="8"/>
  <c r="C36" i="2"/>
  <c r="V9" i="2"/>
  <c r="U9" i="2"/>
  <c r="T9" i="2"/>
  <c r="S9" i="2"/>
  <c r="R9" i="2"/>
  <c r="Q9" i="2"/>
  <c r="P9" i="2"/>
  <c r="O9" i="2"/>
  <c r="N9" i="2"/>
  <c r="M9" i="2"/>
  <c r="L9" i="2"/>
  <c r="K9" i="2"/>
  <c r="J9" i="2"/>
  <c r="I9" i="2"/>
  <c r="H9" i="2"/>
  <c r="G9" i="2"/>
  <c r="F9" i="2"/>
  <c r="E9" i="2"/>
  <c r="D9" i="2"/>
  <c r="C33" i="2"/>
  <c r="C9" i="2"/>
  <c r="Y18" i="8"/>
  <c r="Y29" i="8" s="1"/>
  <c r="K40" i="8" l="1"/>
  <c r="H40" i="8"/>
  <c r="T37" i="9"/>
  <c r="T36" i="9"/>
  <c r="U36" i="9"/>
  <c r="P35" i="9"/>
  <c r="Q36" i="9"/>
  <c r="R36" i="9"/>
  <c r="U37" i="9"/>
  <c r="S37" i="9"/>
  <c r="X41" i="8"/>
  <c r="R42" i="8"/>
  <c r="R35" i="9"/>
  <c r="T35" i="9"/>
  <c r="F42" i="8"/>
  <c r="Q35" i="9"/>
  <c r="M42" i="8"/>
  <c r="W42" i="8"/>
  <c r="S42" i="8"/>
  <c r="L42" i="8"/>
  <c r="K41" i="8"/>
  <c r="X42" i="8"/>
  <c r="U42" i="8"/>
  <c r="V42" i="8"/>
  <c r="Q42" i="8"/>
  <c r="J42" i="8"/>
  <c r="I42" i="8"/>
  <c r="P42" i="8"/>
  <c r="R40" i="8"/>
  <c r="F40" i="8"/>
  <c r="T42" i="8"/>
  <c r="O42" i="8"/>
  <c r="N42" i="8"/>
  <c r="G42" i="8"/>
  <c r="H41" i="8"/>
  <c r="L35" i="9"/>
  <c r="S35" i="9"/>
  <c r="U35" i="9"/>
  <c r="M35" i="9"/>
  <c r="N35" i="9"/>
  <c r="O35" i="9"/>
  <c r="B12" i="9" l="1"/>
  <c r="B13" i="9" l="1"/>
  <c r="F11" i="8"/>
  <c r="Y20" i="8" l="1"/>
  <c r="Y25" i="8" s="1"/>
  <c r="H50" i="4"/>
  <c r="C8" i="8"/>
  <c r="X36" i="8" s="1"/>
  <c r="C7" i="8" l="1"/>
  <c r="Y19" i="8" s="1"/>
  <c r="Y30" i="8" s="1"/>
  <c r="Y16" i="8"/>
  <c r="B8" i="9"/>
  <c r="C27" i="2"/>
  <c r="J35" i="2"/>
  <c r="J34" i="2"/>
  <c r="J33" i="2"/>
  <c r="B22" i="9" l="1"/>
  <c r="E16" i="8" s="1"/>
  <c r="Y26" i="8"/>
  <c r="O74" i="5"/>
  <c r="G73" i="5"/>
  <c r="B27" i="9" l="1"/>
  <c r="B23" i="9"/>
  <c r="V31" i="2"/>
  <c r="V30" i="2"/>
  <c r="V29" i="2"/>
  <c r="V28" i="2"/>
  <c r="Q24" i="2"/>
  <c r="Q33" i="2" s="1"/>
  <c r="V52" i="2"/>
  <c r="V27" i="2"/>
  <c r="V26" i="2"/>
  <c r="V35" i="2" s="1"/>
  <c r="V25" i="2"/>
  <c r="V34" i="2" s="1"/>
  <c r="V24" i="2"/>
  <c r="V33" i="2" s="1"/>
  <c r="E73" i="5"/>
  <c r="D73" i="5"/>
  <c r="D47" i="5"/>
  <c r="E24" i="5"/>
  <c r="H47" i="5" s="1"/>
  <c r="U7" i="9"/>
  <c r="U8" i="9" s="1"/>
  <c r="V36" i="2" l="1"/>
  <c r="J43" i="5"/>
  <c r="I46" i="5"/>
  <c r="J46" i="5"/>
  <c r="I47" i="5"/>
  <c r="J47" i="5"/>
  <c r="I37" i="5"/>
  <c r="J42" i="5"/>
  <c r="I38" i="5"/>
  <c r="I39" i="5"/>
  <c r="I40" i="5"/>
  <c r="I41" i="5"/>
  <c r="I43" i="5"/>
  <c r="I44" i="5"/>
  <c r="J44" i="5"/>
  <c r="I45" i="5"/>
  <c r="I42" i="5"/>
  <c r="J45" i="5"/>
  <c r="F24" i="5"/>
  <c r="U68" i="2" l="1"/>
  <c r="T68" i="2"/>
  <c r="S68" i="2"/>
  <c r="R68" i="2"/>
  <c r="Q68" i="2"/>
  <c r="U67" i="2"/>
  <c r="T67" i="2"/>
  <c r="S67" i="2"/>
  <c r="R67" i="2"/>
  <c r="Q67" i="2"/>
  <c r="P67" i="2"/>
  <c r="O67" i="2"/>
  <c r="N67" i="2"/>
  <c r="M67" i="2"/>
  <c r="L67" i="2"/>
  <c r="U66" i="2"/>
  <c r="T66" i="2"/>
  <c r="S66" i="2"/>
  <c r="R66" i="2"/>
  <c r="Q66" i="2"/>
  <c r="P66" i="2"/>
  <c r="O66" i="2"/>
  <c r="N66" i="2"/>
  <c r="M66" i="2"/>
  <c r="L66" i="2"/>
  <c r="K66" i="2"/>
  <c r="J66" i="2"/>
  <c r="I66" i="2"/>
  <c r="H66" i="2"/>
  <c r="G66" i="2"/>
  <c r="F66" i="2"/>
  <c r="E66" i="2"/>
  <c r="D66" i="2"/>
  <c r="C66" i="2"/>
  <c r="H29" i="5"/>
  <c r="H30" i="5"/>
  <c r="H31" i="5"/>
  <c r="H32" i="5"/>
  <c r="H33" i="5"/>
  <c r="H34" i="5"/>
  <c r="H35" i="5"/>
  <c r="H36" i="5"/>
  <c r="H37" i="5"/>
  <c r="H38" i="5"/>
  <c r="H39" i="5"/>
  <c r="H40" i="5"/>
  <c r="H41" i="5"/>
  <c r="H42" i="5"/>
  <c r="H43" i="5"/>
  <c r="H44" i="5"/>
  <c r="H45" i="5"/>
  <c r="H28" i="5"/>
  <c r="D22" i="8"/>
  <c r="D18" i="8"/>
  <c r="W22" i="8" l="1"/>
  <c r="W29" i="8" s="1"/>
  <c r="V22" i="8"/>
  <c r="V29" i="8" s="1"/>
  <c r="U22" i="8"/>
  <c r="U29" i="8" s="1"/>
  <c r="T22" i="8"/>
  <c r="T29" i="8" s="1"/>
  <c r="S22" i="8"/>
  <c r="S29" i="8" s="1"/>
  <c r="R22" i="8"/>
  <c r="R29" i="8" s="1"/>
  <c r="Q22" i="8"/>
  <c r="Q29" i="8" s="1"/>
  <c r="P22" i="8"/>
  <c r="P29" i="8" s="1"/>
  <c r="O22" i="8"/>
  <c r="O29" i="8" s="1"/>
  <c r="N22" i="8"/>
  <c r="M22" i="8"/>
  <c r="L22" i="8"/>
  <c r="K22" i="8"/>
  <c r="J22" i="8"/>
  <c r="I22" i="8"/>
  <c r="H22" i="8"/>
  <c r="G22" i="8"/>
  <c r="F22" i="8"/>
  <c r="C8" i="9" l="1"/>
  <c r="D8" i="9"/>
  <c r="E8" i="9"/>
  <c r="F8" i="9"/>
  <c r="G8" i="9"/>
  <c r="H8" i="9"/>
  <c r="I8" i="9"/>
  <c r="J8" i="9"/>
  <c r="K8" i="9"/>
  <c r="L8" i="9"/>
  <c r="M8" i="9"/>
  <c r="N8" i="9"/>
  <c r="O8" i="9"/>
  <c r="P8" i="9"/>
  <c r="Q8" i="9"/>
  <c r="R8" i="9"/>
  <c r="R14" i="9" s="1"/>
  <c r="S8" i="9"/>
  <c r="T8" i="9"/>
  <c r="C12" i="9"/>
  <c r="D12" i="9"/>
  <c r="E12" i="9"/>
  <c r="F12" i="9"/>
  <c r="G12" i="9"/>
  <c r="H12" i="9"/>
  <c r="I12" i="9"/>
  <c r="J12" i="9"/>
  <c r="K12" i="9"/>
  <c r="L12" i="9"/>
  <c r="M12" i="9"/>
  <c r="N12" i="9"/>
  <c r="O12" i="9"/>
  <c r="P12" i="9"/>
  <c r="Q12" i="9"/>
  <c r="R12" i="9"/>
  <c r="S12" i="9"/>
  <c r="T12" i="9"/>
  <c r="C13" i="9"/>
  <c r="D13" i="9"/>
  <c r="E13" i="9"/>
  <c r="F13" i="9"/>
  <c r="G13" i="9"/>
  <c r="H13" i="9"/>
  <c r="I13" i="9"/>
  <c r="J13" i="9"/>
  <c r="K13" i="9"/>
  <c r="L13" i="9"/>
  <c r="M13" i="9"/>
  <c r="N13" i="9"/>
  <c r="O13" i="9"/>
  <c r="P13" i="9"/>
  <c r="Q13" i="9"/>
  <c r="R13" i="9"/>
  <c r="S13" i="9"/>
  <c r="T13" i="9"/>
  <c r="U20" i="8" l="1"/>
  <c r="T20" i="8"/>
  <c r="V20" i="8"/>
  <c r="X20" i="8"/>
  <c r="W20" i="8"/>
  <c r="M22" i="9"/>
  <c r="P16" i="8" s="1"/>
  <c r="L22" i="9"/>
  <c r="O16" i="8" s="1"/>
  <c r="O28" i="8" s="1"/>
  <c r="K22" i="9"/>
  <c r="N16" i="8" s="1"/>
  <c r="J22" i="9"/>
  <c r="M16" i="8" s="1"/>
  <c r="I22" i="9"/>
  <c r="L16" i="8" s="1"/>
  <c r="H22" i="9"/>
  <c r="K16" i="8" s="1"/>
  <c r="G22" i="9"/>
  <c r="J16" i="8" s="1"/>
  <c r="N22" i="9"/>
  <c r="Q16" i="8" s="1"/>
  <c r="Q22" i="9"/>
  <c r="T16" i="8" s="1"/>
  <c r="T28" i="8" s="1"/>
  <c r="E22" i="9"/>
  <c r="H16" i="8" s="1"/>
  <c r="P22" i="9"/>
  <c r="S16" i="8" s="1"/>
  <c r="D22" i="9"/>
  <c r="G16" i="8" s="1"/>
  <c r="O22" i="9"/>
  <c r="R16" i="8" s="1"/>
  <c r="C22" i="9"/>
  <c r="F16" i="8" s="1"/>
  <c r="F22" i="9"/>
  <c r="I16" i="8" s="1"/>
  <c r="S15" i="9"/>
  <c r="S22" i="9"/>
  <c r="V16" i="8" s="1"/>
  <c r="V28" i="8" s="1"/>
  <c r="T15" i="9"/>
  <c r="T22" i="9"/>
  <c r="W16" i="8" s="1"/>
  <c r="W28" i="8" s="1"/>
  <c r="R22" i="9"/>
  <c r="U16" i="8" s="1"/>
  <c r="U28" i="8" s="1"/>
  <c r="U22" i="9"/>
  <c r="X16" i="8" s="1"/>
  <c r="X28" i="8" s="1"/>
  <c r="R15" i="9"/>
  <c r="I15" i="9"/>
  <c r="H15" i="9"/>
  <c r="L14" i="9"/>
  <c r="K14" i="9"/>
  <c r="T14" i="9"/>
  <c r="I14" i="9"/>
  <c r="S14" i="9"/>
  <c r="G14" i="9"/>
  <c r="J14" i="9"/>
  <c r="F14" i="9"/>
  <c r="H14" i="9"/>
  <c r="Q14" i="9"/>
  <c r="E15" i="9"/>
  <c r="M15" i="9"/>
  <c r="P15" i="9"/>
  <c r="D14" i="9"/>
  <c r="O15" i="9"/>
  <c r="C15" i="9"/>
  <c r="N15" i="9"/>
  <c r="B15" i="9"/>
  <c r="L15" i="9"/>
  <c r="K15" i="9"/>
  <c r="J15" i="9"/>
  <c r="F15" i="9"/>
  <c r="U12" i="9"/>
  <c r="B14" i="9"/>
  <c r="U14" i="9"/>
  <c r="U15" i="9"/>
  <c r="E14" i="9"/>
  <c r="P14" i="9"/>
  <c r="O14" i="9"/>
  <c r="C14" i="9"/>
  <c r="N14" i="9"/>
  <c r="Q15" i="9"/>
  <c r="M14" i="9"/>
  <c r="U13" i="9"/>
  <c r="D15" i="9"/>
  <c r="G15" i="9"/>
  <c r="O23" i="9" l="1"/>
  <c r="O27" i="9"/>
  <c r="M23" i="9"/>
  <c r="M27" i="9"/>
  <c r="L27" i="9"/>
  <c r="L23" i="9"/>
  <c r="P23" i="9"/>
  <c r="P27" i="9"/>
  <c r="E23" i="9"/>
  <c r="E27" i="9"/>
  <c r="S23" i="9"/>
  <c r="U25" i="9" s="1"/>
  <c r="S27" i="9"/>
  <c r="Q23" i="9"/>
  <c r="Q27" i="9"/>
  <c r="C23" i="9"/>
  <c r="C27" i="9"/>
  <c r="U23" i="9"/>
  <c r="U27" i="9"/>
  <c r="N23" i="9"/>
  <c r="N27" i="9"/>
  <c r="R23" i="9"/>
  <c r="R27" i="9"/>
  <c r="G23" i="9"/>
  <c r="G27" i="9"/>
  <c r="H23" i="9"/>
  <c r="H27" i="9"/>
  <c r="D23" i="9"/>
  <c r="D27" i="9"/>
  <c r="I23" i="9"/>
  <c r="I27" i="9"/>
  <c r="J27" i="9"/>
  <c r="J23" i="9"/>
  <c r="T23" i="9"/>
  <c r="T27" i="9"/>
  <c r="F23" i="9"/>
  <c r="F27" i="9"/>
  <c r="K23" i="9"/>
  <c r="K27" i="9"/>
  <c r="O25" i="8"/>
  <c r="Q20" i="8"/>
  <c r="Q25" i="8" s="1"/>
  <c r="S20" i="8"/>
  <c r="S25" i="8" s="1"/>
  <c r="P20" i="8"/>
  <c r="P25" i="8" s="1"/>
  <c r="R20" i="8"/>
  <c r="R25" i="8" s="1"/>
  <c r="X25" i="8"/>
  <c r="W25" i="8"/>
  <c r="T25" i="8"/>
  <c r="X24" i="8"/>
  <c r="V25" i="8"/>
  <c r="P28" i="8" l="1"/>
  <c r="R28" i="8"/>
  <c r="Q28" i="8"/>
  <c r="S28" i="8"/>
  <c r="L28" i="9"/>
  <c r="Q30" i="9"/>
  <c r="D24" i="9"/>
  <c r="U26" i="9"/>
  <c r="R25" i="9"/>
  <c r="P24" i="9"/>
  <c r="O25" i="9"/>
  <c r="F28" i="9"/>
  <c r="M25" i="9"/>
  <c r="G24" i="9"/>
  <c r="R24" i="9"/>
  <c r="R29" i="9"/>
  <c r="E24" i="9"/>
  <c r="M24" i="9"/>
  <c r="G28" i="9"/>
  <c r="R26" i="9"/>
  <c r="N25" i="9"/>
  <c r="J24" i="9"/>
  <c r="P29" i="9"/>
  <c r="Q25" i="9"/>
  <c r="U24" i="9"/>
  <c r="P28" i="9"/>
  <c r="S28" i="9"/>
  <c r="I28" i="9"/>
  <c r="L25" i="9"/>
  <c r="O29" i="9"/>
  <c r="P25" i="9"/>
  <c r="H24" i="9"/>
  <c r="T25" i="9"/>
  <c r="Q29" i="9"/>
  <c r="N29" i="9"/>
  <c r="M29" i="9"/>
  <c r="P30" i="9"/>
  <c r="P26" i="9"/>
  <c r="N28" i="9"/>
  <c r="T29" i="9"/>
  <c r="I24" i="9"/>
  <c r="L24" i="9"/>
  <c r="S25" i="9"/>
  <c r="T30" i="9"/>
  <c r="J28" i="9"/>
  <c r="Q28" i="9"/>
  <c r="H28" i="9"/>
  <c r="S29" i="9"/>
  <c r="O28" i="9"/>
  <c r="T24" i="9"/>
  <c r="O24" i="9"/>
  <c r="K28" i="9"/>
  <c r="C28" i="9"/>
  <c r="L29" i="9"/>
  <c r="S26" i="9"/>
  <c r="D28" i="9"/>
  <c r="F24" i="9"/>
  <c r="K24" i="9"/>
  <c r="N24" i="9"/>
  <c r="B24" i="9"/>
  <c r="T28" i="9"/>
  <c r="C24" i="9"/>
  <c r="R30" i="9"/>
  <c r="R28" i="9"/>
  <c r="M28" i="9"/>
  <c r="Q24" i="9"/>
  <c r="Q26" i="9"/>
  <c r="K29" i="9"/>
  <c r="U29" i="9"/>
  <c r="S24" i="9"/>
  <c r="U30" i="9"/>
  <c r="S30" i="9"/>
  <c r="U28" i="9"/>
  <c r="E28" i="9"/>
  <c r="T26" i="9"/>
  <c r="B28" i="9"/>
  <c r="K25" i="9"/>
  <c r="X26" i="8"/>
  <c r="U25" i="8"/>
  <c r="G60" i="5"/>
  <c r="G61" i="5"/>
  <c r="G62" i="5"/>
  <c r="G63" i="5"/>
  <c r="G64" i="5"/>
  <c r="G65" i="5"/>
  <c r="G66" i="5"/>
  <c r="G67" i="5"/>
  <c r="G68" i="5"/>
  <c r="G69" i="5"/>
  <c r="G70" i="5"/>
  <c r="G71" i="5"/>
  <c r="G72" i="5"/>
  <c r="G59" i="5"/>
  <c r="E55" i="5" l="1"/>
  <c r="E54" i="5"/>
  <c r="E56" i="5"/>
  <c r="E57" i="5"/>
  <c r="E58" i="5"/>
  <c r="E59" i="5"/>
  <c r="E60" i="5"/>
  <c r="E61" i="5"/>
  <c r="E62" i="5"/>
  <c r="E63" i="5"/>
  <c r="E64" i="5"/>
  <c r="E65" i="5"/>
  <c r="E66" i="5"/>
  <c r="E67" i="5"/>
  <c r="E68" i="5"/>
  <c r="E69" i="5"/>
  <c r="E70" i="5"/>
  <c r="E71" i="5"/>
  <c r="E72" i="5"/>
  <c r="E23" i="5" l="1"/>
  <c r="H46" i="5" s="1"/>
  <c r="E22" i="5"/>
  <c r="F23" i="5" s="1"/>
  <c r="E21" i="5"/>
  <c r="E20" i="5"/>
  <c r="E19" i="5"/>
  <c r="E18" i="5"/>
  <c r="E17" i="5"/>
  <c r="F18" i="5" s="1"/>
  <c r="E16" i="5"/>
  <c r="F17" i="5" s="1"/>
  <c r="E15" i="5"/>
  <c r="E14" i="5"/>
  <c r="E13" i="5"/>
  <c r="E12" i="5"/>
  <c r="E11" i="5"/>
  <c r="E9" i="5"/>
  <c r="E8" i="5"/>
  <c r="E7" i="5"/>
  <c r="F8" i="5" s="1"/>
  <c r="E6" i="5"/>
  <c r="E5" i="5"/>
  <c r="E10" i="5"/>
  <c r="D31" i="5"/>
  <c r="D32" i="5"/>
  <c r="D33" i="5"/>
  <c r="D34" i="5"/>
  <c r="D35" i="5"/>
  <c r="D36" i="5"/>
  <c r="D37" i="5"/>
  <c r="D38" i="5"/>
  <c r="D39" i="5"/>
  <c r="D40" i="5"/>
  <c r="D41" i="5"/>
  <c r="D42" i="5"/>
  <c r="D43" i="5"/>
  <c r="D44" i="5"/>
  <c r="D45" i="5"/>
  <c r="D46" i="5"/>
  <c r="D30" i="5"/>
  <c r="G26" i="3"/>
  <c r="D26" i="3"/>
  <c r="E26" i="3"/>
  <c r="F26" i="3"/>
  <c r="H26" i="3"/>
  <c r="I26" i="3"/>
  <c r="J26" i="3"/>
  <c r="K26" i="3"/>
  <c r="L26" i="3"/>
  <c r="M26" i="3"/>
  <c r="N26" i="3"/>
  <c r="O26" i="3"/>
  <c r="P26" i="3"/>
  <c r="Q26" i="3"/>
  <c r="R26" i="3"/>
  <c r="S26" i="3"/>
  <c r="T26" i="3"/>
  <c r="U26" i="3"/>
  <c r="C26" i="3"/>
  <c r="V40" i="3"/>
  <c r="U40" i="3"/>
  <c r="T40" i="3"/>
  <c r="S40" i="3"/>
  <c r="R40" i="3"/>
  <c r="Q40" i="3"/>
  <c r="P40" i="3"/>
  <c r="O40" i="3"/>
  <c r="N40" i="3"/>
  <c r="M40" i="3"/>
  <c r="L40" i="3"/>
  <c r="K40" i="3"/>
  <c r="J40" i="3"/>
  <c r="I40" i="3"/>
  <c r="H40" i="3"/>
  <c r="G40" i="3"/>
  <c r="F40" i="3"/>
  <c r="E40" i="3"/>
  <c r="V38" i="3"/>
  <c r="U38" i="3"/>
  <c r="T38" i="3"/>
  <c r="S38" i="3"/>
  <c r="R38" i="3"/>
  <c r="Q38" i="3"/>
  <c r="P38" i="3"/>
  <c r="O38" i="3"/>
  <c r="N38" i="3"/>
  <c r="M38" i="3"/>
  <c r="L38" i="3"/>
  <c r="K38" i="3"/>
  <c r="J38" i="3"/>
  <c r="I38" i="3"/>
  <c r="H38" i="3"/>
  <c r="G38" i="3"/>
  <c r="F38" i="3"/>
  <c r="E38" i="3"/>
  <c r="D38" i="3"/>
  <c r="F9" i="5"/>
  <c r="F19" i="5"/>
  <c r="F20" i="5"/>
  <c r="F21" i="5"/>
  <c r="F22" i="5"/>
  <c r="F6" i="5"/>
  <c r="F15" i="5" l="1"/>
  <c r="F11" i="5"/>
  <c r="F12" i="5"/>
  <c r="F7" i="5"/>
  <c r="F13" i="5"/>
  <c r="F14" i="5"/>
  <c r="F10" i="5"/>
  <c r="F16" i="5"/>
  <c r="H5" i="4"/>
  <c r="H6" i="4"/>
  <c r="H7" i="4"/>
  <c r="H8" i="4"/>
  <c r="H9" i="4"/>
  <c r="H10" i="4"/>
  <c r="H11" i="4"/>
  <c r="H12" i="4"/>
  <c r="H13" i="4"/>
  <c r="H14" i="4"/>
  <c r="H15" i="4"/>
  <c r="H16" i="4"/>
  <c r="H17" i="4"/>
  <c r="H18" i="4"/>
  <c r="H19" i="4"/>
  <c r="H20" i="4"/>
  <c r="H21" i="4"/>
  <c r="H22" i="4"/>
  <c r="H23" i="4"/>
  <c r="H24" i="4"/>
  <c r="E52" i="2" l="1"/>
  <c r="C31" i="2" l="1"/>
  <c r="C30" i="2"/>
  <c r="C29" i="2"/>
  <c r="J19" i="2" l="1"/>
  <c r="J20" i="2"/>
  <c r="J21" i="2"/>
  <c r="J18" i="2"/>
  <c r="N22" i="2" l="1"/>
  <c r="O22" i="2"/>
  <c r="D22" i="2"/>
  <c r="P22" i="2"/>
  <c r="Q22" i="2"/>
  <c r="E22" i="2"/>
  <c r="F22" i="2"/>
  <c r="R22" i="2"/>
  <c r="L22" i="2"/>
  <c r="G22" i="2"/>
  <c r="S22" i="2"/>
  <c r="H22" i="2"/>
  <c r="T22" i="2"/>
  <c r="U22" i="2"/>
  <c r="M22" i="2"/>
  <c r="I22" i="2"/>
  <c r="J22" i="2"/>
  <c r="V22" i="2"/>
  <c r="K22" i="2"/>
  <c r="C22" i="2"/>
  <c r="C25" i="3"/>
  <c r="D25" i="3"/>
  <c r="E25" i="3"/>
  <c r="F25" i="3"/>
  <c r="G25" i="3"/>
  <c r="H25" i="3"/>
  <c r="I25" i="3"/>
  <c r="J25" i="3"/>
  <c r="K25" i="3"/>
  <c r="L25" i="3"/>
  <c r="M25" i="3"/>
  <c r="N25" i="3"/>
  <c r="O25" i="3"/>
  <c r="P25" i="3"/>
  <c r="Q25" i="3"/>
  <c r="R25" i="3"/>
  <c r="S25" i="3"/>
  <c r="T25" i="3"/>
  <c r="U25" i="3"/>
  <c r="U57" i="2"/>
  <c r="T57" i="2"/>
  <c r="S57" i="2"/>
  <c r="R57" i="2"/>
  <c r="Q57" i="2"/>
  <c r="P57" i="2"/>
  <c r="O57" i="2"/>
  <c r="N57" i="2"/>
  <c r="M57" i="2"/>
  <c r="L57" i="2"/>
  <c r="K57" i="2"/>
  <c r="J57" i="2"/>
  <c r="I57" i="2"/>
  <c r="H57" i="2"/>
  <c r="G57" i="2"/>
  <c r="F57" i="2"/>
  <c r="E57" i="2"/>
  <c r="E58" i="2" s="1"/>
  <c r="D57" i="2"/>
  <c r="U55" i="2"/>
  <c r="T55" i="2"/>
  <c r="S55" i="2"/>
  <c r="R55" i="2"/>
  <c r="Q55" i="2"/>
  <c r="P55" i="2"/>
  <c r="O55" i="2"/>
  <c r="N55" i="2"/>
  <c r="M55" i="2"/>
  <c r="L55" i="2"/>
  <c r="K55" i="2"/>
  <c r="I55" i="2"/>
  <c r="H55" i="2"/>
  <c r="G55" i="2"/>
  <c r="F55" i="2"/>
  <c r="E55" i="2"/>
  <c r="C55" i="2"/>
  <c r="D55" i="2"/>
  <c r="U52" i="2"/>
  <c r="T52" i="2"/>
  <c r="S52" i="2"/>
  <c r="R52" i="2"/>
  <c r="Q52" i="2"/>
  <c r="P52" i="2"/>
  <c r="O52" i="2"/>
  <c r="N52" i="2"/>
  <c r="M52" i="2"/>
  <c r="L52" i="2"/>
  <c r="K52" i="2"/>
  <c r="K58" i="2" s="1"/>
  <c r="J52" i="2"/>
  <c r="I52" i="2"/>
  <c r="H52" i="2"/>
  <c r="G52" i="2"/>
  <c r="F52" i="2"/>
  <c r="T58" i="2" l="1"/>
  <c r="H58" i="2"/>
  <c r="U58" i="2"/>
  <c r="J58" i="2"/>
  <c r="L58" i="2"/>
  <c r="M58" i="2"/>
  <c r="I58" i="2"/>
  <c r="S58" i="2"/>
  <c r="N58" i="2"/>
  <c r="P58" i="2"/>
  <c r="G58" i="2"/>
  <c r="F58" i="2"/>
  <c r="Q58" i="2"/>
  <c r="R58" i="2"/>
  <c r="O58" i="2"/>
  <c r="S54" i="2"/>
  <c r="R54" i="2" s="1"/>
  <c r="O54" i="2"/>
  <c r="N54" i="2"/>
  <c r="M54" i="2"/>
  <c r="L54" i="2"/>
  <c r="K54" i="2"/>
  <c r="J54" i="2"/>
  <c r="F54" i="2"/>
  <c r="G54" i="2"/>
  <c r="H54" i="2"/>
  <c r="I54" i="2"/>
  <c r="E54" i="2"/>
  <c r="P53" i="2"/>
  <c r="K53" i="2"/>
  <c r="U53" i="2"/>
  <c r="T53" i="2"/>
  <c r="S53" i="2"/>
  <c r="R53" i="2"/>
  <c r="Q53" i="2"/>
  <c r="O53" i="2"/>
  <c r="N53" i="2"/>
  <c r="M53" i="2"/>
  <c r="L53" i="2"/>
  <c r="I53" i="2"/>
  <c r="H53" i="2"/>
  <c r="G53" i="2"/>
  <c r="F53" i="2"/>
  <c r="E53" i="2"/>
  <c r="E59" i="2" l="1"/>
  <c r="F59" i="2" s="1"/>
  <c r="G59" i="2" s="1"/>
  <c r="H59" i="2" s="1"/>
  <c r="I59" i="2" s="1"/>
  <c r="J59" i="2" s="1"/>
  <c r="K59" i="2" s="1"/>
  <c r="L59" i="2" s="1"/>
  <c r="M59" i="2" s="1"/>
  <c r="N59" i="2" s="1"/>
  <c r="O59" i="2" s="1"/>
  <c r="P59" i="2" s="1"/>
  <c r="Q59" i="2" s="1"/>
  <c r="R59" i="2" s="1"/>
  <c r="S59" i="2" s="1"/>
  <c r="T59" i="2" s="1"/>
  <c r="U59" i="2" s="1"/>
  <c r="P54" i="2"/>
  <c r="Q54" i="2"/>
  <c r="U31" i="2"/>
  <c r="T31" i="2"/>
  <c r="S31" i="2"/>
  <c r="R31" i="2"/>
  <c r="Q31" i="2"/>
  <c r="P31" i="2"/>
  <c r="O31" i="2"/>
  <c r="N31" i="2"/>
  <c r="M31" i="2"/>
  <c r="L31" i="2"/>
  <c r="K31" i="2"/>
  <c r="I31" i="2"/>
  <c r="H31" i="2"/>
  <c r="G31" i="2"/>
  <c r="F31" i="2"/>
  <c r="E31" i="2"/>
  <c r="D31" i="2"/>
  <c r="U30" i="2"/>
  <c r="T30" i="2"/>
  <c r="S30" i="2"/>
  <c r="R30" i="2"/>
  <c r="Q30" i="2"/>
  <c r="P30" i="2"/>
  <c r="O30" i="2"/>
  <c r="N30" i="2"/>
  <c r="M30" i="2"/>
  <c r="L30" i="2"/>
  <c r="K30" i="2"/>
  <c r="I30" i="2"/>
  <c r="H30" i="2"/>
  <c r="G30" i="2"/>
  <c r="F30" i="2"/>
  <c r="E30" i="2"/>
  <c r="D30" i="2"/>
  <c r="U29" i="2"/>
  <c r="T29" i="2"/>
  <c r="S29" i="2"/>
  <c r="R29" i="2"/>
  <c r="Q29" i="2"/>
  <c r="P29" i="2"/>
  <c r="O29" i="2"/>
  <c r="N29" i="2"/>
  <c r="M29" i="2"/>
  <c r="L29" i="2"/>
  <c r="K29" i="2"/>
  <c r="I29" i="2"/>
  <c r="H29" i="2"/>
  <c r="G29" i="2"/>
  <c r="F29" i="2"/>
  <c r="E29" i="2"/>
  <c r="D29" i="2"/>
  <c r="U28" i="2"/>
  <c r="T28" i="2"/>
  <c r="S28" i="2"/>
  <c r="R28" i="2"/>
  <c r="Q28" i="2"/>
  <c r="P28" i="2"/>
  <c r="O28" i="2"/>
  <c r="N28" i="2"/>
  <c r="M28" i="2"/>
  <c r="L28" i="2"/>
  <c r="K28" i="2"/>
  <c r="I28" i="2"/>
  <c r="H28" i="2"/>
  <c r="G28" i="2"/>
  <c r="F28" i="2"/>
  <c r="E28" i="2"/>
  <c r="D28" i="2"/>
  <c r="C28" i="2"/>
  <c r="U27" i="2"/>
  <c r="U36" i="2" s="1"/>
  <c r="T27" i="2"/>
  <c r="T36" i="2" s="1"/>
  <c r="S27" i="2"/>
  <c r="S36" i="2" s="1"/>
  <c r="R27" i="2"/>
  <c r="R36" i="2" s="1"/>
  <c r="Q27" i="2"/>
  <c r="Q36" i="2" s="1"/>
  <c r="P27" i="2"/>
  <c r="P36" i="2" s="1"/>
  <c r="O27" i="2"/>
  <c r="O36" i="2" s="1"/>
  <c r="N27" i="2"/>
  <c r="N36" i="2" s="1"/>
  <c r="M27" i="2"/>
  <c r="M36" i="2" s="1"/>
  <c r="L27" i="2"/>
  <c r="L36" i="2" s="1"/>
  <c r="K27" i="2"/>
  <c r="K36" i="2" s="1"/>
  <c r="I27" i="2"/>
  <c r="I36" i="2" s="1"/>
  <c r="H27" i="2"/>
  <c r="H36" i="2" s="1"/>
  <c r="G27" i="2"/>
  <c r="G36" i="2" s="1"/>
  <c r="F27" i="2"/>
  <c r="F36" i="2" s="1"/>
  <c r="E27" i="2"/>
  <c r="E36" i="2" s="1"/>
  <c r="D27" i="2"/>
  <c r="D36" i="2" s="1"/>
  <c r="U26" i="2"/>
  <c r="U35" i="2" s="1"/>
  <c r="T26" i="2"/>
  <c r="T35" i="2" s="1"/>
  <c r="S26" i="2"/>
  <c r="S35" i="2" s="1"/>
  <c r="R26" i="2"/>
  <c r="R35" i="2" s="1"/>
  <c r="Q26" i="2"/>
  <c r="Q35" i="2" s="1"/>
  <c r="P26" i="2"/>
  <c r="P35" i="2" s="1"/>
  <c r="O26" i="2"/>
  <c r="O35" i="2" s="1"/>
  <c r="N26" i="2"/>
  <c r="N35" i="2" s="1"/>
  <c r="M26" i="2"/>
  <c r="M35" i="2" s="1"/>
  <c r="L26" i="2"/>
  <c r="L35" i="2" s="1"/>
  <c r="K26" i="2"/>
  <c r="K35" i="2" s="1"/>
  <c r="I26" i="2"/>
  <c r="I35" i="2" s="1"/>
  <c r="H26" i="2"/>
  <c r="H35" i="2" s="1"/>
  <c r="G26" i="2"/>
  <c r="G35" i="2" s="1"/>
  <c r="F26" i="2"/>
  <c r="F35" i="2" s="1"/>
  <c r="E26" i="2"/>
  <c r="E35" i="2" s="1"/>
  <c r="D26" i="2"/>
  <c r="D35" i="2" s="1"/>
  <c r="U25" i="2"/>
  <c r="U34" i="2" s="1"/>
  <c r="T25" i="2"/>
  <c r="T34" i="2" s="1"/>
  <c r="S25" i="2"/>
  <c r="S34" i="2" s="1"/>
  <c r="R25" i="2"/>
  <c r="R34" i="2" s="1"/>
  <c r="Q25" i="2"/>
  <c r="Q34" i="2" s="1"/>
  <c r="P25" i="2"/>
  <c r="P34" i="2" s="1"/>
  <c r="O25" i="2"/>
  <c r="O34" i="2" s="1"/>
  <c r="N25" i="2"/>
  <c r="N34" i="2" s="1"/>
  <c r="M25" i="2"/>
  <c r="M34" i="2" s="1"/>
  <c r="L25" i="2"/>
  <c r="L34" i="2" s="1"/>
  <c r="K25" i="2"/>
  <c r="K34" i="2" s="1"/>
  <c r="I25" i="2"/>
  <c r="I34" i="2" s="1"/>
  <c r="H25" i="2"/>
  <c r="H34" i="2" s="1"/>
  <c r="G25" i="2"/>
  <c r="G34" i="2" s="1"/>
  <c r="F25" i="2"/>
  <c r="F34" i="2" s="1"/>
  <c r="E25" i="2"/>
  <c r="E34" i="2" s="1"/>
  <c r="D25" i="2"/>
  <c r="D34" i="2" s="1"/>
  <c r="U24" i="2"/>
  <c r="U33" i="2" s="1"/>
  <c r="T24" i="2"/>
  <c r="T33" i="2" s="1"/>
  <c r="S24" i="2"/>
  <c r="S33" i="2" s="1"/>
  <c r="R24" i="2"/>
  <c r="R33" i="2" s="1"/>
  <c r="P24" i="2"/>
  <c r="P33" i="2" s="1"/>
  <c r="O24" i="2"/>
  <c r="O33" i="2" s="1"/>
  <c r="N24" i="2"/>
  <c r="N33" i="2" s="1"/>
  <c r="M24" i="2"/>
  <c r="M33" i="2" s="1"/>
  <c r="L24" i="2"/>
  <c r="L33" i="2" s="1"/>
  <c r="K24" i="2"/>
  <c r="K33" i="2" s="1"/>
  <c r="I24" i="2"/>
  <c r="I33" i="2" s="1"/>
  <c r="H24" i="2"/>
  <c r="H33" i="2" s="1"/>
  <c r="G24" i="2"/>
  <c r="G33" i="2" s="1"/>
  <c r="F24" i="2"/>
  <c r="F33" i="2" s="1"/>
  <c r="E24" i="2"/>
  <c r="E33" i="2" s="1"/>
  <c r="D24" i="2"/>
  <c r="D33" i="2" s="1"/>
  <c r="C26" i="2"/>
  <c r="C35" i="2" s="1"/>
  <c r="C25" i="2"/>
  <c r="C34" i="2" s="1"/>
  <c r="C24" i="2"/>
  <c r="V49" i="2"/>
  <c r="V23" i="2" s="1"/>
  <c r="U49" i="2"/>
  <c r="T49" i="2"/>
  <c r="S49" i="2"/>
  <c r="R49" i="2"/>
  <c r="Q49" i="2"/>
  <c r="P49" i="2"/>
  <c r="O49" i="2"/>
  <c r="N49" i="2"/>
  <c r="M49" i="2"/>
  <c r="L49" i="2"/>
  <c r="K49" i="2"/>
  <c r="J49" i="2"/>
  <c r="I49" i="2"/>
  <c r="H49" i="2"/>
  <c r="G49" i="2"/>
  <c r="F49" i="2"/>
  <c r="E49" i="2"/>
  <c r="D49" i="2"/>
  <c r="D23" i="2" s="1"/>
  <c r="O24" i="8" l="1"/>
  <c r="O26" i="8"/>
  <c r="P24" i="8"/>
  <c r="P26" i="8"/>
  <c r="Q26" i="8"/>
  <c r="Q24" i="8"/>
  <c r="R24" i="8"/>
  <c r="R26" i="8"/>
  <c r="S24" i="8"/>
  <c r="S26" i="8"/>
  <c r="T24" i="8"/>
  <c r="T26" i="8"/>
  <c r="U24" i="8"/>
  <c r="U26" i="8"/>
  <c r="V24" i="8"/>
  <c r="V26" i="8"/>
  <c r="W24" i="8"/>
  <c r="W26" i="8"/>
  <c r="O38" i="2"/>
  <c r="M38" i="2"/>
  <c r="V38" i="2"/>
  <c r="U38" i="2"/>
  <c r="T38" i="2"/>
  <c r="S38" i="2"/>
  <c r="R38" i="2"/>
  <c r="Q38" i="2"/>
  <c r="P38" i="2"/>
  <c r="N38" i="2"/>
  <c r="T39" i="2"/>
  <c r="S39" i="2"/>
  <c r="R39" i="2"/>
  <c r="V39" i="2"/>
  <c r="U39" i="2"/>
  <c r="V37" i="2"/>
  <c r="C37" i="2"/>
  <c r="Q37" i="2"/>
  <c r="U37" i="2"/>
  <c r="N37" i="2"/>
  <c r="D37" i="2"/>
  <c r="T37" i="2"/>
  <c r="M37" i="2"/>
  <c r="J37" i="2"/>
  <c r="H37" i="2"/>
  <c r="O37" i="2"/>
  <c r="G37" i="2"/>
  <c r="I37" i="2"/>
  <c r="S37" i="2"/>
  <c r="F37" i="2"/>
  <c r="K37" i="2"/>
  <c r="R37" i="2"/>
  <c r="L37" i="2"/>
  <c r="E37" i="2"/>
  <c r="P37" i="2"/>
  <c r="O23" i="2"/>
  <c r="O60" i="2"/>
  <c r="P23" i="2"/>
  <c r="P60" i="2"/>
  <c r="M23" i="2"/>
  <c r="M60" i="2"/>
  <c r="E23" i="2"/>
  <c r="E60" i="2"/>
  <c r="R23" i="2"/>
  <c r="R60" i="2"/>
  <c r="T23" i="2"/>
  <c r="T60" i="2"/>
  <c r="Q23" i="2"/>
  <c r="Q60" i="2"/>
  <c r="U23" i="2"/>
  <c r="U60" i="2"/>
  <c r="N23" i="2"/>
  <c r="N60" i="2"/>
  <c r="G23" i="2"/>
  <c r="G60" i="2"/>
  <c r="H23" i="2"/>
  <c r="H60" i="2"/>
  <c r="J60" i="2"/>
  <c r="K23" i="2"/>
  <c r="K60" i="2"/>
  <c r="F23" i="2"/>
  <c r="F60" i="2"/>
  <c r="S23" i="2"/>
  <c r="S60" i="2"/>
  <c r="I23" i="2"/>
  <c r="I60" i="2"/>
  <c r="L23" i="2"/>
  <c r="L60" i="2"/>
  <c r="J2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PX-Web Ekstern</author>
  </authors>
  <commentList>
    <comment ref="A10" authorId="0" shapeId="0" xr:uid="{00000000-0006-0000-0000-000001000000}">
      <text>
        <r>
          <rPr>
            <sz val="9"/>
            <color rgb="FF000000"/>
            <rFont val="Tahoma"/>
            <family val="2"/>
          </rPr>
          <t xml:space="preserve">Dette er hentet fra Folke- og boligtellinger og interpolert for mellomliggende år, frem til 2005. Fra 2005 er kilden årlig registerbasert husholdningsstatistikk, målt per 1. Januar.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PX-Web Ekstern</author>
  </authors>
  <commentList>
    <comment ref="S42" authorId="0" shapeId="0" xr:uid="{F3978F35-3C64-4771-A450-3D33C884FCDE}">
      <text>
        <r>
          <rPr>
            <sz val="9"/>
            <color rgb="FF000000"/>
            <rFont val="Tahoma"/>
            <family val="2"/>
          </rPr>
          <t xml:space="preserve">Antall boliger ble rettet 26.04.2022. Rettelsen gir først og fremst utslag for K-1511 Vanylven.
</t>
        </r>
      </text>
    </comment>
    <comment ref="B48" authorId="0" shapeId="0" xr:uid="{F0D47F04-24A0-44A4-B285-3412A591FF29}">
      <text>
        <r>
          <rPr>
            <sz val="9"/>
            <color rgb="FF000000"/>
            <rFont val="Tahoma"/>
            <family val="2"/>
          </rPr>
          <t xml:space="preserve">Andre bygningstyper inkluderer i hovedsak boliger i garasjer, næringsbygninger og andre bygningstyper som ikke er boligbygninger.
</t>
        </r>
      </text>
    </comment>
    <comment ref="S51" authorId="0" shapeId="0" xr:uid="{D5FDB74A-4BF1-4A04-B886-AFF83B842A82}">
      <text>
        <r>
          <rPr>
            <sz val="9"/>
            <color rgb="FF000000"/>
            <rFont val="Tahoma"/>
            <family val="2"/>
          </rPr>
          <t xml:space="preserve">Antall boliger ble rettet 26.04.2022. Rettelsen gir først og fremst utslag for K-1511 Vanylven.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Ingrid H Magnussen</author>
  </authors>
  <commentList>
    <comment ref="G4" authorId="0" shapeId="0" xr:uid="{6B748105-DC50-4E93-98C4-D112DEA73AB2}">
      <text>
        <r>
          <rPr>
            <b/>
            <sz val="9"/>
            <color indexed="81"/>
            <rFont val="Tahoma"/>
            <family val="2"/>
          </rPr>
          <t>Ingrid H Magnussen:</t>
        </r>
        <r>
          <rPr>
            <sz val="9"/>
            <color indexed="81"/>
            <rFont val="Tahoma"/>
            <family val="2"/>
          </rPr>
          <t xml:space="preserve">
Ingrid H Magnussen:
Epost fra Bård Bårdsen 08.12.2014: 
"Vi regner VRF/VRV som luft/luft VP hva gjelder effektivitet. Dette er luft/luft varmepumper med en noe mer avansert styring/regulering."
Kommentar fra Bård Bårdsen 10.05.2013: 
"Denne har tidligere vært inkludert i luft/luft varmepumper.
Vi har endret dette fordi vi rapporterer tall til EHPA som har dette som egen kategori.
Mvh. Bård"
http://en.wikipedia.org/wiki/Variable_refrigerant_flow
VRF uses refrigerant as the cooling and heating medium, and allows one outdoor condensing unit to be connected to multiple indoor fan-coil units (FCUs), each individually controllable by its user, while modulating the amount of refrigerant being sent to each evaporator. By operating at varying speeds, VRF units work only at the needed rate allowing for substantial energy savings at partial-load conditions. Heat recovery VRF technology allows individual indoor units to heat or cool as required, while the compressor load benefits from the internal heat recovery. Energy savings of up to 55% are predicted over comparable unitary equipment.[2] [1] VRF is typically implemented with the use of an Air conditioner inverter which adds an DC inverter to the compressor in order to support variable motor speed and thus variable refrigerant flow rather than on/off operation</t>
        </r>
      </text>
    </comment>
    <comment ref="G29" authorId="0" shapeId="0" xr:uid="{A9A8AEF2-418B-4852-A1D0-0332D8A1F985}">
      <text>
        <r>
          <rPr>
            <b/>
            <sz val="9"/>
            <color indexed="81"/>
            <rFont val="Tahoma"/>
            <family val="2"/>
          </rPr>
          <t>Ingrid H Magnussen:</t>
        </r>
        <r>
          <rPr>
            <sz val="9"/>
            <color indexed="81"/>
            <rFont val="Tahoma"/>
            <family val="2"/>
          </rPr>
          <t xml:space="preserve">
Ingrid H Magnussen:
Epost fra Bård Bårdsen 08.12.2014: 
"Vi regner VRF/VRV som luft/luft VP hva gjelder effektivitet. Dette er luft/luft varmepumper med en noe mer avansert styring/regulering."
Kommentar fra Bård Bårdsen 10.05.2013: 
"Denne har tidligere vært inkludert i luft/luft varmepumper.
Vi har endret dette fordi vi rapporterer tall til EHPA som har dette som egen kategori.
Mvh. Bård"
http://en.wikipedia.org/wiki/Variable_refrigerant_flow
VRF uses refrigerant as the cooling and heating medium, and allows one outdoor condensing unit to be connected to multiple indoor fan-coil units (FCUs), each individually controllable by its user, while modulating the amount of refrigerant being sent to each evaporator. By operating at varying speeds, VRF units work only at the needed rate allowing for substantial energy savings at partial-load conditions. Heat recovery VRF technology allows individual indoor units to heat or cool as required, while the compressor load benefits from the internal heat recovery. Energy savings of up to 55% are predicted over comparable unitary equipment.[2] [1] VRF is typically implemented with the use of an Air conditioner inverter which adds an DC inverter to the compressor in order to support variable motor speed and thus variable refrigerant flow rather than on/off operation</t>
        </r>
      </text>
    </comment>
  </commentList>
</comments>
</file>

<file path=xl/sharedStrings.xml><?xml version="1.0" encoding="utf-8"?>
<sst xmlns="http://schemas.openxmlformats.org/spreadsheetml/2006/main" count="545" uniqueCount="181">
  <si>
    <t>Boliger</t>
  </si>
  <si>
    <t>Forbruk GWh</t>
  </si>
  <si>
    <t>Metode</t>
  </si>
  <si>
    <t>Forbruk / enhet</t>
  </si>
  <si>
    <t>Antall enheter</t>
  </si>
  <si>
    <t>Kilde</t>
  </si>
  <si>
    <t>Elektrisitet</t>
  </si>
  <si>
    <t>Forbruk pr husholdning * antall husholdninger</t>
  </si>
  <si>
    <t>Familier og husholdninger – SSB</t>
  </si>
  <si>
    <t>Fjernvarme</t>
  </si>
  <si>
    <t>Trendframskriving</t>
  </si>
  <si>
    <t>Bio</t>
  </si>
  <si>
    <t>Innfyrt energi pr husholdning med vedovn * antall husholdninger med vedovn</t>
  </si>
  <si>
    <t>Varmepumper</t>
  </si>
  <si>
    <t>Ingrids modell, produsert varme</t>
  </si>
  <si>
    <t>Yrkesbygg</t>
  </si>
  <si>
    <t>Forbruk pr person * befolkning</t>
  </si>
  <si>
    <t>NYTTIGGJORT ENERGI</t>
  </si>
  <si>
    <t>2005</t>
  </si>
  <si>
    <t>2006</t>
  </si>
  <si>
    <t>2007</t>
  </si>
  <si>
    <t>2008</t>
  </si>
  <si>
    <t>2009</t>
  </si>
  <si>
    <t>2010</t>
  </si>
  <si>
    <t>2011</t>
  </si>
  <si>
    <t>2012</t>
  </si>
  <si>
    <t>2013</t>
  </si>
  <si>
    <t>2014</t>
  </si>
  <si>
    <t>2015</t>
  </si>
  <si>
    <t>2016</t>
  </si>
  <si>
    <t>2017</t>
  </si>
  <si>
    <t>2018</t>
  </si>
  <si>
    <t>2019</t>
  </si>
  <si>
    <t>2020</t>
  </si>
  <si>
    <t>2021</t>
  </si>
  <si>
    <t>2022</t>
  </si>
  <si>
    <t>2023</t>
  </si>
  <si>
    <t>Bolig</t>
  </si>
  <si>
    <t>Elektrisitet uten VP tempkorr</t>
  </si>
  <si>
    <t>Fjernvarme tempkorr</t>
  </si>
  <si>
    <t>Bio produsert varme tempkorr</t>
  </si>
  <si>
    <t>Varmepumper produsert varme</t>
  </si>
  <si>
    <t>Totalt</t>
  </si>
  <si>
    <t>LEVERT ENERGI</t>
  </si>
  <si>
    <t>09703: Energibalansen. Vedforbruk i boliger, etter statistikkvariabel, region, fyringsteknologi og år</t>
  </si>
  <si>
    <t>Antatte virkningsgrader: Åpen peis ca 15 % (varierer), gammel teknologi 50 %, ny teknologi 75 %</t>
  </si>
  <si>
    <t>Ved - teoretisk energiinnhold (TWh)</t>
  </si>
  <si>
    <t>Åpen peis</t>
  </si>
  <si>
    <t>Lukket ovn ny teknologi (produsert etter 1998)</t>
  </si>
  <si>
    <t>Lukket ovn gammel teknologi (produsert før 1998)</t>
  </si>
  <si>
    <t>Alle teknologier</t>
  </si>
  <si>
    <t>Ved - nyttiggjort energi (TWh)</t>
  </si>
  <si>
    <t>Ved (1 000 tonn)</t>
  </si>
  <si>
    <t>Husholdninger som fyrer med ved (1 000 husholdninger)</t>
  </si>
  <si>
    <t>Andel boliger som har vedovn (alle teknologier)</t>
  </si>
  <si>
    <t>Ved - teoretisk energiinnhold pr bolig med teknologien (kWh/bolig)</t>
  </si>
  <si>
    <t>Ved - nyttiggjort energi pr bolig med teknologien (kWh/bolig)</t>
  </si>
  <si>
    <t>06265: Boliger, etter statistikkvariabel, region, bygningstype og år</t>
  </si>
  <si>
    <t>2024</t>
  </si>
  <si>
    <t>Enebolig</t>
  </si>
  <si>
    <t>Boliger (bebodde og ubebodde)</t>
  </si>
  <si>
    <t>Tomannsbolig</t>
  </si>
  <si>
    <t>Rekkehus, kjedehus og andre småhus</t>
  </si>
  <si>
    <t>Boligblokk</t>
  </si>
  <si>
    <t>Bygning for bofellesskap</t>
  </si>
  <si>
    <t>Andre bygningstyper</t>
  </si>
  <si>
    <t>Sum</t>
  </si>
  <si>
    <t>Årlig økning småhus</t>
  </si>
  <si>
    <t>Årlig økning peisovn ny teknologi</t>
  </si>
  <si>
    <t>Årlig økning peisovn ny teknologi uten negative tall</t>
  </si>
  <si>
    <t>Antall boliger som fyrer med ved</t>
  </si>
  <si>
    <t>Antall boliger som fyrer med ved interpolert</t>
  </si>
  <si>
    <t>Økning antall boliger som fyrer med ved interpolert</t>
  </si>
  <si>
    <t>Andel av nye småhus som har vedovn</t>
  </si>
  <si>
    <t>Snitt andel nye småhus som har vedovn</t>
  </si>
  <si>
    <t>Økning ny teknologi pr nye småhus Antar at all ny teknologi kommer i nye hus</t>
  </si>
  <si>
    <t>Gjennomsnittlig vedforbruk pr husholdning som fyrer med ved</t>
  </si>
  <si>
    <t>Snitt 19 år</t>
  </si>
  <si>
    <t>Snitt 10 år</t>
  </si>
  <si>
    <t>Snitt 5 år</t>
  </si>
  <si>
    <t>Måleenhet:</t>
  </si>
  <si>
    <t>Målemetode:</t>
  </si>
  <si>
    <t>Forløp (periodesum)</t>
  </si>
  <si>
    <t>Referansetid:</t>
  </si>
  <si>
    <t>31.12.</t>
  </si>
  <si>
    <t>Offisiell statistikk</t>
  </si>
  <si>
    <t>Database:</t>
  </si>
  <si>
    <t>Ekstern PRODUKSJON</t>
  </si>
  <si>
    <t>Intern referansekode:</t>
  </si>
  <si>
    <t>VedGWhTeoretisk</t>
  </si>
  <si>
    <t>År</t>
  </si>
  <si>
    <t>Luft/ luft</t>
  </si>
  <si>
    <t>Luft/ vann</t>
  </si>
  <si>
    <t>Væske/ vann</t>
  </si>
  <si>
    <t>Ventilasjonsluft</t>
  </si>
  <si>
    <t>VRF / VRV</t>
  </si>
  <si>
    <t>SUM</t>
  </si>
  <si>
    <t>Varmeproduksjon husholdninger, GWh</t>
  </si>
  <si>
    <t>Varmeproduksjon yrkesbygg, GWh</t>
  </si>
  <si>
    <t>Luft/vann</t>
  </si>
  <si>
    <t>Normalår</t>
  </si>
  <si>
    <t>Tempavhengig</t>
  </si>
  <si>
    <t>FV levert til husholdning</t>
  </si>
  <si>
    <t>Graddagstall</t>
  </si>
  <si>
    <t>Tempkorr</t>
  </si>
  <si>
    <t>Økning</t>
  </si>
  <si>
    <t>Boliger i boligblokk</t>
  </si>
  <si>
    <t xml:space="preserve">Økning </t>
  </si>
  <si>
    <t>Temperaturkorrigert</t>
  </si>
  <si>
    <t>04727: Fjernvarmebalanse (GWh), etter statistikkvariabel, fjernvarme og år</t>
  </si>
  <si>
    <t>YRKESBYGG</t>
  </si>
  <si>
    <t>13929: Energiforbruk i husholdninger og fritidshus, etter statistikkvariabel og år</t>
  </si>
  <si>
    <t>Historisk graddagstall</t>
  </si>
  <si>
    <t>Observerte graddager</t>
  </si>
  <si>
    <t>Elektrisitet i boliger, unntatt lading av elbiler (GWh)</t>
  </si>
  <si>
    <t>Elektrisitet i boliger, unntatt lading av elbiler (GWh), temperaturkorrigert</t>
  </si>
  <si>
    <t>Folkemengde per 1. januar</t>
  </si>
  <si>
    <t>Antall husholdninger per 1. januar</t>
  </si>
  <si>
    <t>Per person kWh</t>
  </si>
  <si>
    <t>Per husholdning kWh</t>
  </si>
  <si>
    <t>HH andel temperaturkorrigert</t>
  </si>
  <si>
    <t>TJ andel temperaturkorrigert</t>
  </si>
  <si>
    <t>Elektrisitet i boliger</t>
  </si>
  <si>
    <t>Elektrisitet pr husholdning</t>
  </si>
  <si>
    <t>Elektrisitet pr person</t>
  </si>
  <si>
    <t>Elektrisitet i yrkesbygg</t>
  </si>
  <si>
    <t>05940: Boligbygg, etter statistikkvariabel, bygningstype og år</t>
  </si>
  <si>
    <t>Fullførte boliger</t>
  </si>
  <si>
    <t>111 Enebolig</t>
  </si>
  <si>
    <t>112 Enebolig med hybelleilighet, sokkelleilighet o.l.</t>
  </si>
  <si>
    <t>113 Våningshus</t>
  </si>
  <si>
    <t>121 Del av tomannsbolig, vertikaldelt</t>
  </si>
  <si>
    <t>122 Tomannsbolig, horisontaldelt</t>
  </si>
  <si>
    <t>123 Del av våninghus  tomannsbustad, vertikaltdelt</t>
  </si>
  <si>
    <t>124 Våningshus tomannsbolig, horisontaltdelt</t>
  </si>
  <si>
    <t>131 Rekkehus</t>
  </si>
  <si>
    <t>133 Kjedehus inkl.atriumhus</t>
  </si>
  <si>
    <t>135 Terrassehus</t>
  </si>
  <si>
    <t>136 Andre småhus med 3 boliger eller flere</t>
  </si>
  <si>
    <t>141 Store frittliggende boligbygg på 2 etasjer</t>
  </si>
  <si>
    <t>142 Store frittliggende boligbygg på 3 og 4 etasjer</t>
  </si>
  <si>
    <t>143 Store frittliggende boligbygg på 5 etasjer eller over</t>
  </si>
  <si>
    <t>144 Stort sammenbygd boligbygg på 2 etasjer</t>
  </si>
  <si>
    <t>145 Stort sammenbygd boligbygg på 3 og 4 etasjer</t>
  </si>
  <si>
    <t>146 Stort sammenbygd boligbygg på 5 etasjer eller over</t>
  </si>
  <si>
    <t>151 Bo- og servicesenter</t>
  </si>
  <si>
    <t>152 Studenthjem/studentboliger</t>
  </si>
  <si>
    <t>159 Annen bygning for bofellesskap</t>
  </si>
  <si>
    <t>000 Andre bygg enn boligbygg</t>
  </si>
  <si>
    <t>SMÅHUS</t>
  </si>
  <si>
    <t>"Boligblokk"</t>
  </si>
  <si>
    <t>06265: Boliger, etter statistikkvariabel, bygningstype og år</t>
  </si>
  <si>
    <t>Økning boligblokk</t>
  </si>
  <si>
    <t>Fullførte boliger:</t>
  </si>
  <si>
    <t>boliger</t>
  </si>
  <si>
    <t>Fullforte</t>
  </si>
  <si>
    <t>Befolkning</t>
  </si>
  <si>
    <t>Tempkorr pr bolig med teknologien</t>
  </si>
  <si>
    <t>Snitt 5 år (6 800 kWh)</t>
  </si>
  <si>
    <t>Snitt 10 år (6 900 kWh)</t>
  </si>
  <si>
    <t>Snitt 20 år (7 000 kWh)</t>
  </si>
  <si>
    <t>Forbruk pr person * antall personer</t>
  </si>
  <si>
    <t>TEMPERATURKORRIGERT</t>
  </si>
  <si>
    <t>Snitt 20 år (15 900 kWh)</t>
  </si>
  <si>
    <t>Snitt 10 år (15 600)</t>
  </si>
  <si>
    <t>Snitt 5 år (15 100)</t>
  </si>
  <si>
    <t>Per husholdning kWh, temperaturkorrigert</t>
  </si>
  <si>
    <t>Per person kWh, temperaturkorrigert</t>
  </si>
  <si>
    <t>VP modellen</t>
  </si>
  <si>
    <t>Bio levert/innfyrt energi tempkorr</t>
  </si>
  <si>
    <t>Elektristet til VP</t>
  </si>
  <si>
    <t>Snitt 20 år (4 300)</t>
  </si>
  <si>
    <t>Snitt 5 år (4000)</t>
  </si>
  <si>
    <t>Snitt 10 år (3 900)</t>
  </si>
  <si>
    <t>BOLIG</t>
  </si>
  <si>
    <t>Snitt 3 år (4 300)</t>
  </si>
  <si>
    <t>Snitt 10 år (4 600 kWh)</t>
  </si>
  <si>
    <t>Hentet fra 10 TWh-rapporten</t>
  </si>
  <si>
    <t>Snitt 5 år (4 500 kWh)</t>
  </si>
  <si>
    <t>Strøm</t>
  </si>
  <si>
    <t>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</si>
</sst>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_ * #,##0_ ;_ * \-#,##0_ ;_ * &quot;-&quot;??_ ;_ @_ "/>
    <numFmt numFmtId="166" formatCode="0.0\ %"/>
  </numFmts>
  <fonts count="10" x14ac:knownFonts="1">
    <font>
      <sz val="11"/>
      <color rgb="FF000000"/>
      <name val="Calibri"/>
      <family val="2"/>
    </font>
    <font>
      <b/>
      <sz val="14"/>
      <color rgb="FF000000"/>
      <name val="Calibri"/>
      <family val="2"/>
    </font>
    <font>
      <b/>
      <sz val="11"/>
      <color rgb="FF000000"/>
      <name val="Calibri"/>
      <family val="2"/>
    </font>
    <font>
      <sz val="11"/>
      <color rgb="FF000000"/>
      <name val="Calibri"/>
      <family val="2"/>
    </font>
    <font>
      <sz val="9"/>
      <color rgb="FF000000"/>
      <name val="Tahoma"/>
      <family val="2"/>
    </font>
    <font>
      <u/>
      <sz val="11"/>
      <color theme="10"/>
      <name val="Calibri"/>
      <family val="2"/>
    </font>
    <font>
      <b/>
      <sz val="9"/>
      <color indexed="81"/>
      <name val="Tahoma"/>
      <family val="2"/>
    </font>
    <font>
      <sz val="9"/>
      <color indexed="81"/>
      <name val="Tahoma"/>
      <family val="2"/>
    </font>
    <font>
      <sz val="11"/>
      <color theme="1"/>
      <name val="Calibri"/>
      <family val="2"/>
    </font>
    <font>
      <sz val="11"/>
      <color rgb="FF162327"/>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applyBorder="0"/>
    <xf numFmtId="9" fontId="3" fillId="0" borderId="0" applyFont="0" applyFill="0" applyBorder="0" applyAlignment="0" applyProtection="0"/>
    <xf numFmtId="0" fontId="5" fillId="0" borderId="0" applyNumberFormat="0" applyFill="0" applyBorder="0" applyAlignment="0" applyProtection="0"/>
    <xf numFmtId="43" fontId="3" fillId="0" borderId="0" applyFont="0" applyFill="0" applyBorder="0" applyAlignment="0" applyProtection="0"/>
  </cellStyleXfs>
  <cellXfs count="60">
    <xf numFmtId="0" fontId="0" fillId="0" borderId="0" xfId="0"/>
    <xf numFmtId="0" fontId="1" fillId="0" borderId="0" xfId="0" applyFont="1"/>
    <xf numFmtId="0" fontId="2" fillId="0" borderId="0" xfId="0" applyFont="1"/>
    <xf numFmtId="2" fontId="0" fillId="0" borderId="0" xfId="0" applyNumberFormat="1"/>
    <xf numFmtId="164" fontId="0" fillId="0" borderId="0" xfId="0" applyNumberFormat="1"/>
    <xf numFmtId="0" fontId="2" fillId="0" borderId="1" xfId="0" applyFont="1" applyBorder="1"/>
    <xf numFmtId="0" fontId="0" fillId="0" borderId="1" xfId="0" applyBorder="1"/>
    <xf numFmtId="2" fontId="0" fillId="0" borderId="1" xfId="0" applyNumberFormat="1" applyBorder="1"/>
    <xf numFmtId="164" fontId="0" fillId="0" borderId="1" xfId="0" applyNumberFormat="1" applyBorder="1"/>
    <xf numFmtId="0" fontId="0" fillId="0" borderId="0" xfId="0" applyBorder="1"/>
    <xf numFmtId="0" fontId="2" fillId="0" borderId="0" xfId="0" applyFont="1" applyBorder="1"/>
    <xf numFmtId="3" fontId="0" fillId="0" borderId="0" xfId="0" applyNumberFormat="1"/>
    <xf numFmtId="164" fontId="0" fillId="0" borderId="0" xfId="0" applyNumberFormat="1" applyBorder="1"/>
    <xf numFmtId="9" fontId="0" fillId="0" borderId="1" xfId="1" applyFont="1" applyBorder="1"/>
    <xf numFmtId="3" fontId="0" fillId="0" borderId="0" xfId="0" applyNumberFormat="1" applyBorder="1"/>
    <xf numFmtId="3" fontId="0" fillId="0" borderId="1" xfId="0" applyNumberFormat="1" applyBorder="1"/>
    <xf numFmtId="0" fontId="5" fillId="0" borderId="0" xfId="2"/>
    <xf numFmtId="9" fontId="0" fillId="0" borderId="0" xfId="1" applyFont="1"/>
    <xf numFmtId="9" fontId="0" fillId="0" borderId="0" xfId="0" applyNumberFormat="1"/>
    <xf numFmtId="1" fontId="0" fillId="0" borderId="0" xfId="0" applyNumberFormat="1"/>
    <xf numFmtId="164" fontId="0" fillId="2" borderId="0" xfId="0" applyNumberFormat="1" applyFill="1" applyAlignment="1">
      <alignment horizontal="right"/>
    </xf>
    <xf numFmtId="0" fontId="0" fillId="2" borderId="0" xfId="0" applyFill="1" applyAlignment="1">
      <alignment horizontal="right"/>
    </xf>
    <xf numFmtId="0" fontId="0" fillId="2" borderId="0" xfId="0" applyFill="1" applyBorder="1" applyAlignment="1">
      <alignment horizontal="right"/>
    </xf>
    <xf numFmtId="9" fontId="0" fillId="2" borderId="1" xfId="1" applyFont="1" applyFill="1" applyBorder="1"/>
    <xf numFmtId="165" fontId="0" fillId="0" borderId="0" xfId="0" applyNumberFormat="1"/>
    <xf numFmtId="0" fontId="0" fillId="3" borderId="0" xfId="0" applyFill="1" applyAlignment="1">
      <alignment horizontal="left"/>
    </xf>
    <xf numFmtId="0" fontId="0" fillId="3" borderId="0" xfId="0" applyFill="1"/>
    <xf numFmtId="0" fontId="0" fillId="0" borderId="0" xfId="0" applyAlignment="1">
      <alignment horizontal="right"/>
    </xf>
    <xf numFmtId="3" fontId="9" fillId="0" borderId="0" xfId="0" applyNumberFormat="1" applyFont="1"/>
    <xf numFmtId="3" fontId="0" fillId="0" borderId="0" xfId="3" applyNumberFormat="1" applyFont="1" applyFill="1" applyProtection="1"/>
    <xf numFmtId="3" fontId="8" fillId="0" borderId="0" xfId="3" applyNumberFormat="1" applyFont="1" applyFill="1" applyProtection="1"/>
    <xf numFmtId="3" fontId="2" fillId="0" borderId="0" xfId="0" applyNumberFormat="1" applyFont="1"/>
    <xf numFmtId="0" fontId="0" fillId="4" borderId="0" xfId="0" applyFill="1" applyAlignment="1">
      <alignment horizontal="left"/>
    </xf>
    <xf numFmtId="0" fontId="0" fillId="4" borderId="0" xfId="0" applyFill="1"/>
    <xf numFmtId="166" fontId="0" fillId="0" borderId="0" xfId="1" applyNumberFormat="1" applyFont="1"/>
    <xf numFmtId="0" fontId="2" fillId="0" borderId="0" xfId="0" applyFont="1" applyAlignment="1">
      <alignment horizontal="left"/>
    </xf>
    <xf numFmtId="2" fontId="0" fillId="0" borderId="0" xfId="0" applyNumberFormat="1" applyBorder="1"/>
    <xf numFmtId="0" fontId="0" fillId="0" borderId="3" xfId="0" applyBorder="1" applyAlignment="1" applyProtection="1">
      <alignment horizontal="left"/>
      <protection locked="0"/>
    </xf>
    <xf numFmtId="3" fontId="0" fillId="0" borderId="3" xfId="0" applyNumberFormat="1" applyBorder="1"/>
    <xf numFmtId="0" fontId="0" fillId="5" borderId="0" xfId="0" applyFill="1"/>
    <xf numFmtId="0" fontId="2" fillId="0" borderId="0" xfId="0" applyFont="1" applyAlignment="1">
      <alignment horizontal="right"/>
    </xf>
    <xf numFmtId="0" fontId="0" fillId="0" borderId="1" xfId="0" applyBorder="1" applyAlignment="1">
      <alignment horizontal="right"/>
    </xf>
    <xf numFmtId="1" fontId="0" fillId="0" borderId="1" xfId="0" applyNumberFormat="1" applyBorder="1"/>
    <xf numFmtId="3" fontId="0" fillId="6" borderId="0" xfId="0" applyNumberFormat="1" applyFill="1"/>
    <xf numFmtId="0" fontId="0" fillId="6" borderId="0" xfId="0" applyFill="1"/>
    <xf numFmtId="9" fontId="0" fillId="6" borderId="0" xfId="1" applyFont="1" applyFill="1"/>
    <xf numFmtId="0" fontId="2" fillId="0" borderId="0" xfId="0" applyFont="1" applyBorder="1" applyAlignment="1">
      <alignment horizontal="right"/>
    </xf>
    <xf numFmtId="0" fontId="2" fillId="6" borderId="1" xfId="0" applyFont="1" applyFill="1" applyBorder="1" applyAlignment="1">
      <alignment horizontal="left" vertical="center" wrapText="1"/>
    </xf>
    <xf numFmtId="0" fontId="2" fillId="6" borderId="1" xfId="0" applyFont="1" applyFill="1" applyBorder="1"/>
    <xf numFmtId="4" fontId="0" fillId="6" borderId="1" xfId="0" applyNumberFormat="1" applyFill="1" applyBorder="1"/>
    <xf numFmtId="3" fontId="0" fillId="6" borderId="1" xfId="0" applyNumberFormat="1" applyFill="1" applyBorder="1"/>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0" xfId="0" applyFont="1" applyBorder="1" applyAlignment="1">
      <alignment horizontal="left" vertical="center" wrapText="1"/>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0" fillId="3" borderId="0" xfId="0" applyFill="1" applyAlignment="1">
      <alignment horizontal="center"/>
    </xf>
    <xf numFmtId="0" fontId="0" fillId="4" borderId="0" xfId="0" applyFill="1" applyAlignment="1">
      <alignment horizontal="center"/>
    </xf>
  </cellXfs>
  <cellStyles count="4">
    <cellStyle name="Hyperkobling" xfId="2" builtinId="8"/>
    <cellStyle name="Komma 2" xfId="3" xr:uid="{A8A66B79-921C-420A-8777-A41D9A350936}"/>
    <cellStyle name="Normal" xfId="0" builtinId="0"/>
    <cellStyle name="Pros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Boliger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manualLayout>
          <c:layoutTarget val="inner"/>
          <c:xMode val="edge"/>
          <c:yMode val="edge"/>
          <c:x val="0.12153958880139983"/>
          <c:y val="0.17171296296296296"/>
          <c:w val="0.66083639545056871"/>
          <c:h val="0.67607210557013708"/>
        </c:manualLayout>
      </c:layout>
      <c:areaChart>
        <c:grouping val="stacked"/>
        <c:varyColors val="0"/>
        <c:ser>
          <c:idx val="0"/>
          <c:order val="0"/>
          <c:tx>
            <c:strRef>
              <c:f>'Vårt 2025'!$D$16</c:f>
              <c:strCache>
                <c:ptCount val="1"/>
                <c:pt idx="0">
                  <c:v>Elektrisitet uten VP tempkorr</c:v>
                </c:pt>
              </c:strCache>
            </c:strRef>
          </c:tx>
          <c:spPr>
            <a:solidFill>
              <a:schemeClr val="accent1"/>
            </a:solidFill>
            <a:ln>
              <a:noFill/>
            </a:ln>
            <a:effectLst/>
          </c:spPr>
          <c:cat>
            <c:strRef>
              <c:f>'Vårt 2025'!$E$15:$Y$15</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'Vårt 2025'!$E$16:$Y$16</c:f>
              <c:numCache>
                <c:formatCode>_ * #\ ##0_ ;_ * \-#\ ##0_ ;_ * "-"??_ ;_ @_ </c:formatCode>
                <c:ptCount val="21"/>
                <c:pt idx="0">
                  <c:v>32679.061865138196</c:v>
                </c:pt>
                <c:pt idx="1">
                  <c:v>32404.970650101775</c:v>
                </c:pt>
                <c:pt idx="2">
                  <c:v>32544.1527187313</c:v>
                </c:pt>
                <c:pt idx="3">
                  <c:v>32287.730859637162</c:v>
                </c:pt>
                <c:pt idx="4">
                  <c:v>32319.361995416883</c:v>
                </c:pt>
                <c:pt idx="5">
                  <c:v>31768.153766661206</c:v>
                </c:pt>
                <c:pt idx="6">
                  <c:v>32519.170866253804</c:v>
                </c:pt>
                <c:pt idx="7">
                  <c:v>32312.35325092918</c:v>
                </c:pt>
                <c:pt idx="8">
                  <c:v>33012.527789842061</c:v>
                </c:pt>
                <c:pt idx="9">
                  <c:v>33838.323287509134</c:v>
                </c:pt>
                <c:pt idx="10">
                  <c:v>34388.544920916793</c:v>
                </c:pt>
                <c:pt idx="11">
                  <c:v>34320.345748253661</c:v>
                </c:pt>
                <c:pt idx="12">
                  <c:v>34151.884925316874</c:v>
                </c:pt>
                <c:pt idx="13">
                  <c:v>34156.750384351144</c:v>
                </c:pt>
                <c:pt idx="14">
                  <c:v>33562.906813717949</c:v>
                </c:pt>
                <c:pt idx="15">
                  <c:v>36008.998207541837</c:v>
                </c:pt>
                <c:pt idx="16">
                  <c:v>34067.666882664998</c:v>
                </c:pt>
                <c:pt idx="17">
                  <c:v>30005.175470687587</c:v>
                </c:pt>
                <c:pt idx="18">
                  <c:v>30458.64127891387</c:v>
                </c:pt>
                <c:pt idx="19">
                  <c:v>32266.985279998698</c:v>
                </c:pt>
                <c:pt idx="20">
                  <c:v>31821.610440935598</c:v>
                </c:pt>
              </c:numCache>
            </c:numRef>
          </c:val>
          <c:extLst>
            <c:ext xmlns:c16="http://schemas.microsoft.com/office/drawing/2014/chart" uri="{C3380CC4-5D6E-409C-BE32-E72D297353CC}">
              <c16:uniqueId val="{00000000-9678-4C2A-BD9F-14D147912BCA}"/>
            </c:ext>
          </c:extLst>
        </c:ser>
        <c:ser>
          <c:idx val="3"/>
          <c:order val="1"/>
          <c:tx>
            <c:strRef>
              <c:f>'Vårt 2025'!$D$17</c:f>
              <c:strCache>
                <c:ptCount val="1"/>
                <c:pt idx="0">
                  <c:v>Elektristet til VP</c:v>
                </c:pt>
              </c:strCache>
            </c:strRef>
          </c:tx>
          <c:spPr>
            <a:solidFill>
              <a:schemeClr val="accent1">
                <a:lumMod val="40000"/>
                <a:lumOff val="60000"/>
              </a:schemeClr>
            </a:solidFill>
            <a:ln>
              <a:noFill/>
            </a:ln>
            <a:effectLst/>
          </c:spPr>
          <c:cat>
            <c:strRef>
              <c:f>'Vårt 2025'!$E$15:$Y$15</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'Vårt 2025'!$E$17:$Y$17</c:f>
              <c:numCache>
                <c:formatCode>_ * #\ ##0_ ;_ * \-#\ ##0_ ;_ * "-"??_ ;_ @_ </c:formatCode>
                <c:ptCount val="21"/>
                <c:pt idx="0">
                  <c:v>789.69483505039398</c:v>
                </c:pt>
                <c:pt idx="1">
                  <c:v>1141.4858637598272</c:v>
                </c:pt>
                <c:pt idx="2">
                  <c:v>1460.3941561485735</c:v>
                </c:pt>
                <c:pt idx="3">
                  <c:v>1836.356692527316</c:v>
                </c:pt>
                <c:pt idx="4">
                  <c:v>2200.2665459471832</c:v>
                </c:pt>
                <c:pt idx="5">
                  <c:v>2608.0766245075724</c:v>
                </c:pt>
                <c:pt idx="6">
                  <c:v>2975.1720933433635</c:v>
                </c:pt>
                <c:pt idx="7">
                  <c:v>3240.1165607310727</c:v>
                </c:pt>
                <c:pt idx="8">
                  <c:v>3465.6157901854749</c:v>
                </c:pt>
                <c:pt idx="9">
                  <c:v>3646.1504082758552</c:v>
                </c:pt>
                <c:pt idx="10">
                  <c:v>3836.3566687897792</c:v>
                </c:pt>
                <c:pt idx="11">
                  <c:v>4034.496722207221</c:v>
                </c:pt>
                <c:pt idx="12">
                  <c:v>4231.0050900671285</c:v>
                </c:pt>
                <c:pt idx="13">
                  <c:v>4489.4944881840138</c:v>
                </c:pt>
                <c:pt idx="14">
                  <c:v>4744.4640385509056</c:v>
                </c:pt>
                <c:pt idx="15">
                  <c:v>4910.6799200327823</c:v>
                </c:pt>
                <c:pt idx="16">
                  <c:v>5205.0857410687322</c:v>
                </c:pt>
                <c:pt idx="17">
                  <c:v>5599.2792459519342</c:v>
                </c:pt>
                <c:pt idx="18">
                  <c:v>5981.6195897188391</c:v>
                </c:pt>
                <c:pt idx="19">
                  <c:v>6276.8924152225381</c:v>
                </c:pt>
                <c:pt idx="20">
                  <c:v>6511.939859064405</c:v>
                </c:pt>
              </c:numCache>
            </c:numRef>
          </c:val>
          <c:extLst>
            <c:ext xmlns:c16="http://schemas.microsoft.com/office/drawing/2014/chart" uri="{C3380CC4-5D6E-409C-BE32-E72D297353CC}">
              <c16:uniqueId val="{00000003-9678-4C2A-BD9F-14D147912BCA}"/>
            </c:ext>
          </c:extLst>
        </c:ser>
        <c:ser>
          <c:idx val="1"/>
          <c:order val="2"/>
          <c:tx>
            <c:strRef>
              <c:f>'Vårt 2025'!$D$18</c:f>
              <c:strCache>
                <c:ptCount val="1"/>
                <c:pt idx="0">
                  <c:v>Fjernvarme tempkorr</c:v>
                </c:pt>
              </c:strCache>
            </c:strRef>
          </c:tx>
          <c:spPr>
            <a:solidFill>
              <a:schemeClr val="accent2"/>
            </a:solidFill>
            <a:ln>
              <a:noFill/>
            </a:ln>
            <a:effectLst/>
          </c:spPr>
          <c:cat>
            <c:strRef>
              <c:f>'Vårt 2025'!$E$15:$Y$15</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'Vårt 2025'!$E$18:$Y$18</c:f>
              <c:numCache>
                <c:formatCode>#,##0</c:formatCode>
                <c:ptCount val="21"/>
                <c:pt idx="0">
                  <c:v>439.74443418774467</c:v>
                </c:pt>
                <c:pt idx="1">
                  <c:v>528.53623440828733</c:v>
                </c:pt>
                <c:pt idx="2">
                  <c:v>579.0204118506233</c:v>
                </c:pt>
                <c:pt idx="3">
                  <c:v>740.86858648389307</c:v>
                </c:pt>
                <c:pt idx="4">
                  <c:v>746.18890355645306</c:v>
                </c:pt>
                <c:pt idx="5">
                  <c:v>946.12660105075599</c:v>
                </c:pt>
                <c:pt idx="6">
                  <c:v>828.48403211176606</c:v>
                </c:pt>
                <c:pt idx="7">
                  <c:v>921.82416243067598</c:v>
                </c:pt>
                <c:pt idx="8">
                  <c:v>1071.2213446937822</c:v>
                </c:pt>
                <c:pt idx="9">
                  <c:v>1105.3602889179024</c:v>
                </c:pt>
                <c:pt idx="10">
                  <c:v>1107.7000946084486</c:v>
                </c:pt>
                <c:pt idx="11">
                  <c:v>1247.6686660121188</c:v>
                </c:pt>
                <c:pt idx="12">
                  <c:v>1395.4228405837823</c:v>
                </c:pt>
                <c:pt idx="13">
                  <c:v>1442.1821038634966</c:v>
                </c:pt>
                <c:pt idx="14">
                  <c:v>1587.3964693393614</c:v>
                </c:pt>
                <c:pt idx="15">
                  <c:v>1644.0130795576872</c:v>
                </c:pt>
                <c:pt idx="16">
                  <c:v>1732.0248349102835</c:v>
                </c:pt>
                <c:pt idx="17">
                  <c:v>1759.1348757994631</c:v>
                </c:pt>
                <c:pt idx="18">
                  <c:v>1926.5465601772275</c:v>
                </c:pt>
                <c:pt idx="19">
                  <c:v>1984.0181945330669</c:v>
                </c:pt>
                <c:pt idx="20">
                  <c:v>2000</c:v>
                </c:pt>
              </c:numCache>
            </c:numRef>
          </c:val>
          <c:extLst>
            <c:ext xmlns:c16="http://schemas.microsoft.com/office/drawing/2014/chart" uri="{C3380CC4-5D6E-409C-BE32-E72D297353CC}">
              <c16:uniqueId val="{00000001-9678-4C2A-BD9F-14D147912BCA}"/>
            </c:ext>
          </c:extLst>
        </c:ser>
        <c:ser>
          <c:idx val="2"/>
          <c:order val="3"/>
          <c:tx>
            <c:strRef>
              <c:f>'Vårt 2025'!$D$19</c:f>
              <c:strCache>
                <c:ptCount val="1"/>
                <c:pt idx="0">
                  <c:v>Bio levert/innfyrt energi tempkorr</c:v>
                </c:pt>
              </c:strCache>
            </c:strRef>
          </c:tx>
          <c:spPr>
            <a:solidFill>
              <a:schemeClr val="accent3"/>
            </a:solidFill>
            <a:ln>
              <a:noFill/>
            </a:ln>
            <a:effectLst/>
          </c:spPr>
          <c:cat>
            <c:strRef>
              <c:f>'Vårt 2025'!$E$15:$Y$15</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'Vårt 2025'!$E$19:$Y$19</c:f>
              <c:numCache>
                <c:formatCode>_ * #\ ##0_ ;_ * \-#\ ##0_ ;_ * "-"??_ ;_ @_ </c:formatCode>
                <c:ptCount val="21"/>
                <c:pt idx="0">
                  <c:v>6680.2639232115798</c:v>
                </c:pt>
                <c:pt idx="1">
                  <c:v>6822.8881977416322</c:v>
                </c:pt>
                <c:pt idx="2">
                  <c:v>6217.213688233458</c:v>
                </c:pt>
                <c:pt idx="3">
                  <c:v>6238.8779925197769</c:v>
                </c:pt>
                <c:pt idx="4">
                  <c:v>6160.2714565339102</c:v>
                </c:pt>
                <c:pt idx="5">
                  <c:v>5845.0413714284523</c:v>
                </c:pt>
                <c:pt idx="6">
                  <c:v>6576.877091451006</c:v>
                </c:pt>
                <c:pt idx="7">
                  <c:v>6567.1589312858032</c:v>
                </c:pt>
                <c:pt idx="8">
                  <c:v>4981.3455571371196</c:v>
                </c:pt>
                <c:pt idx="9">
                  <c:v>4877.6285565451999</c:v>
                </c:pt>
                <c:pt idx="10">
                  <c:v>4774.9763937767284</c:v>
                </c:pt>
                <c:pt idx="11">
                  <c:v>4395.976839821973</c:v>
                </c:pt>
                <c:pt idx="12">
                  <c:v>4748.7120178544628</c:v>
                </c:pt>
                <c:pt idx="13">
                  <c:v>4461.3996002565164</c:v>
                </c:pt>
                <c:pt idx="14">
                  <c:v>4034.3864624652001</c:v>
                </c:pt>
                <c:pt idx="15">
                  <c:v>4718.3994769823767</c:v>
                </c:pt>
                <c:pt idx="16">
                  <c:v>4947.0814705064722</c:v>
                </c:pt>
                <c:pt idx="17">
                  <c:v>5599.9142377733197</c:v>
                </c:pt>
                <c:pt idx="18">
                  <c:v>5065.0815548680339</c:v>
                </c:pt>
                <c:pt idx="19">
                  <c:v>4869.4888891564278</c:v>
                </c:pt>
                <c:pt idx="20" formatCode="#,##0">
                  <c:v>4875</c:v>
                </c:pt>
              </c:numCache>
            </c:numRef>
          </c:val>
          <c:extLst>
            <c:ext xmlns:c16="http://schemas.microsoft.com/office/drawing/2014/chart" uri="{C3380CC4-5D6E-409C-BE32-E72D297353CC}">
              <c16:uniqueId val="{00000002-9678-4C2A-BD9F-14D147912BCA}"/>
            </c:ext>
          </c:extLst>
        </c:ser>
        <c:dLbls>
          <c:showLegendKey val="0"/>
          <c:showVal val="0"/>
          <c:showCatName val="0"/>
          <c:showSerName val="0"/>
          <c:showPercent val="0"/>
          <c:showBubbleSize val="0"/>
        </c:dLbls>
        <c:axId val="586936672"/>
        <c:axId val="586934272"/>
      </c:areaChart>
      <c:catAx>
        <c:axId val="586936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86934272"/>
        <c:crosses val="autoZero"/>
        <c:auto val="1"/>
        <c:lblAlgn val="ctr"/>
        <c:lblOffset val="100"/>
        <c:noMultiLvlLbl val="0"/>
      </c:catAx>
      <c:valAx>
        <c:axId val="586934272"/>
        <c:scaling>
          <c:orientation val="minMax"/>
        </c:scaling>
        <c:delete val="0"/>
        <c:axPos val="l"/>
        <c:majorGridlines>
          <c:spPr>
            <a:ln w="9525" cap="flat" cmpd="sng" algn="ctr">
              <a:solidFill>
                <a:schemeClr val="tx1">
                  <a:lumMod val="15000"/>
                  <a:lumOff val="85000"/>
                </a:schemeClr>
              </a:solidFill>
              <a:round/>
            </a:ln>
            <a:effectLst/>
          </c:spPr>
        </c:majorGridlines>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86936672"/>
        <c:crosses val="autoZero"/>
        <c:crossBetween val="midCat"/>
      </c:valAx>
      <c:spPr>
        <a:noFill/>
        <a:ln>
          <a:noFill/>
        </a:ln>
        <a:effectLst/>
      </c:spPr>
    </c:plotArea>
    <c:legend>
      <c:legendPos val="r"/>
      <c:layout>
        <c:manualLayout>
          <c:xMode val="edge"/>
          <c:yMode val="edge"/>
          <c:x val="0.78173031496062995"/>
          <c:y val="0.30807633420822395"/>
          <c:w val="0.21549190726159231"/>
          <c:h val="0.513893263342082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Boliger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manualLayout>
          <c:layoutTarget val="inner"/>
          <c:xMode val="edge"/>
          <c:yMode val="edge"/>
          <c:x val="0.12153958880139983"/>
          <c:y val="0.17171296296296296"/>
          <c:w val="0.66083639545056871"/>
          <c:h val="0.67607210557013708"/>
        </c:manualLayout>
      </c:layout>
      <c:lineChart>
        <c:grouping val="standard"/>
        <c:varyColors val="0"/>
        <c:ser>
          <c:idx val="0"/>
          <c:order val="0"/>
          <c:tx>
            <c:strRef>
              <c:f>'Vårt 2025'!$D$16</c:f>
              <c:strCache>
                <c:ptCount val="1"/>
                <c:pt idx="0">
                  <c:v>Elektrisitet uten VP tempkorr</c:v>
                </c:pt>
              </c:strCache>
            </c:strRef>
          </c:tx>
          <c:spPr>
            <a:ln w="28575" cap="rnd">
              <a:solidFill>
                <a:schemeClr val="accent1"/>
              </a:solidFill>
              <a:round/>
            </a:ln>
            <a:effectLst/>
          </c:spPr>
          <c:marker>
            <c:symbol val="none"/>
          </c:marker>
          <c:cat>
            <c:strRef>
              <c:f>'Vårt 2025'!$E$15:$Y$15</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'Vårt 2025'!$E$16:$Y$16</c:f>
              <c:numCache>
                <c:formatCode>_ * #\ ##0_ ;_ * \-#\ ##0_ ;_ * "-"??_ ;_ @_ </c:formatCode>
                <c:ptCount val="21"/>
                <c:pt idx="0">
                  <c:v>32679.061865138196</c:v>
                </c:pt>
                <c:pt idx="1">
                  <c:v>32404.970650101775</c:v>
                </c:pt>
                <c:pt idx="2">
                  <c:v>32544.1527187313</c:v>
                </c:pt>
                <c:pt idx="3">
                  <c:v>32287.730859637162</c:v>
                </c:pt>
                <c:pt idx="4">
                  <c:v>32319.361995416883</c:v>
                </c:pt>
                <c:pt idx="5">
                  <c:v>31768.153766661206</c:v>
                </c:pt>
                <c:pt idx="6">
                  <c:v>32519.170866253804</c:v>
                </c:pt>
                <c:pt idx="7">
                  <c:v>32312.35325092918</c:v>
                </c:pt>
                <c:pt idx="8">
                  <c:v>33012.527789842061</c:v>
                </c:pt>
                <c:pt idx="9">
                  <c:v>33838.323287509134</c:v>
                </c:pt>
                <c:pt idx="10">
                  <c:v>34388.544920916793</c:v>
                </c:pt>
                <c:pt idx="11">
                  <c:v>34320.345748253661</c:v>
                </c:pt>
                <c:pt idx="12">
                  <c:v>34151.884925316874</c:v>
                </c:pt>
                <c:pt idx="13">
                  <c:v>34156.750384351144</c:v>
                </c:pt>
                <c:pt idx="14">
                  <c:v>33562.906813717949</c:v>
                </c:pt>
                <c:pt idx="15">
                  <c:v>36008.998207541837</c:v>
                </c:pt>
                <c:pt idx="16">
                  <c:v>34067.666882664998</c:v>
                </c:pt>
                <c:pt idx="17">
                  <c:v>30005.175470687587</c:v>
                </c:pt>
                <c:pt idx="18">
                  <c:v>30458.64127891387</c:v>
                </c:pt>
                <c:pt idx="19">
                  <c:v>32266.985279998698</c:v>
                </c:pt>
                <c:pt idx="20">
                  <c:v>31821.610440935598</c:v>
                </c:pt>
              </c:numCache>
            </c:numRef>
          </c:val>
          <c:smooth val="0"/>
          <c:extLst>
            <c:ext xmlns:c16="http://schemas.microsoft.com/office/drawing/2014/chart" uri="{C3380CC4-5D6E-409C-BE32-E72D297353CC}">
              <c16:uniqueId val="{00000000-686F-4A9B-8F98-A2E89D318D24}"/>
            </c:ext>
          </c:extLst>
        </c:ser>
        <c:ser>
          <c:idx val="3"/>
          <c:order val="1"/>
          <c:tx>
            <c:strRef>
              <c:f>'Vårt 2025'!$D$17</c:f>
              <c:strCache>
                <c:ptCount val="1"/>
                <c:pt idx="0">
                  <c:v>Elektristet til VP</c:v>
                </c:pt>
              </c:strCache>
            </c:strRef>
          </c:tx>
          <c:spPr>
            <a:ln w="28575" cap="rnd">
              <a:solidFill>
                <a:schemeClr val="accent1">
                  <a:lumMod val="40000"/>
                  <a:lumOff val="60000"/>
                </a:schemeClr>
              </a:solidFill>
              <a:round/>
            </a:ln>
            <a:effectLst/>
          </c:spPr>
          <c:marker>
            <c:symbol val="none"/>
          </c:marker>
          <c:cat>
            <c:strRef>
              <c:f>'Vårt 2025'!$E$15:$Y$15</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'Vårt 2025'!$E$17:$Y$17</c:f>
              <c:numCache>
                <c:formatCode>_ * #\ ##0_ ;_ * \-#\ ##0_ ;_ * "-"??_ ;_ @_ </c:formatCode>
                <c:ptCount val="21"/>
                <c:pt idx="0">
                  <c:v>789.69483505039398</c:v>
                </c:pt>
                <c:pt idx="1">
                  <c:v>1141.4858637598272</c:v>
                </c:pt>
                <c:pt idx="2">
                  <c:v>1460.3941561485735</c:v>
                </c:pt>
                <c:pt idx="3">
                  <c:v>1836.356692527316</c:v>
                </c:pt>
                <c:pt idx="4">
                  <c:v>2200.2665459471832</c:v>
                </c:pt>
                <c:pt idx="5">
                  <c:v>2608.0766245075724</c:v>
                </c:pt>
                <c:pt idx="6">
                  <c:v>2975.1720933433635</c:v>
                </c:pt>
                <c:pt idx="7">
                  <c:v>3240.1165607310727</c:v>
                </c:pt>
                <c:pt idx="8">
                  <c:v>3465.6157901854749</c:v>
                </c:pt>
                <c:pt idx="9">
                  <c:v>3646.1504082758552</c:v>
                </c:pt>
                <c:pt idx="10">
                  <c:v>3836.3566687897792</c:v>
                </c:pt>
                <c:pt idx="11">
                  <c:v>4034.496722207221</c:v>
                </c:pt>
                <c:pt idx="12">
                  <c:v>4231.0050900671285</c:v>
                </c:pt>
                <c:pt idx="13">
                  <c:v>4489.4944881840138</c:v>
                </c:pt>
                <c:pt idx="14">
                  <c:v>4744.4640385509056</c:v>
                </c:pt>
                <c:pt idx="15">
                  <c:v>4910.6799200327823</c:v>
                </c:pt>
                <c:pt idx="16">
                  <c:v>5205.0857410687322</c:v>
                </c:pt>
                <c:pt idx="17">
                  <c:v>5599.2792459519342</c:v>
                </c:pt>
                <c:pt idx="18">
                  <c:v>5981.6195897188391</c:v>
                </c:pt>
                <c:pt idx="19">
                  <c:v>6276.8924152225381</c:v>
                </c:pt>
                <c:pt idx="20">
                  <c:v>6511.939859064405</c:v>
                </c:pt>
              </c:numCache>
            </c:numRef>
          </c:val>
          <c:smooth val="0"/>
          <c:extLst>
            <c:ext xmlns:c16="http://schemas.microsoft.com/office/drawing/2014/chart" uri="{C3380CC4-5D6E-409C-BE32-E72D297353CC}">
              <c16:uniqueId val="{00000001-686F-4A9B-8F98-A2E89D318D24}"/>
            </c:ext>
          </c:extLst>
        </c:ser>
        <c:ser>
          <c:idx val="1"/>
          <c:order val="2"/>
          <c:tx>
            <c:strRef>
              <c:f>'Vårt 2025'!$D$18</c:f>
              <c:strCache>
                <c:ptCount val="1"/>
                <c:pt idx="0">
                  <c:v>Fjernvarme tempkorr</c:v>
                </c:pt>
              </c:strCache>
            </c:strRef>
          </c:tx>
          <c:spPr>
            <a:ln w="28575" cap="rnd">
              <a:solidFill>
                <a:schemeClr val="accent2"/>
              </a:solidFill>
              <a:round/>
            </a:ln>
            <a:effectLst/>
          </c:spPr>
          <c:marker>
            <c:symbol val="none"/>
          </c:marker>
          <c:cat>
            <c:strRef>
              <c:f>'Vårt 2025'!$E$15:$Y$15</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'Vårt 2025'!$E$18:$Y$18</c:f>
              <c:numCache>
                <c:formatCode>#,##0</c:formatCode>
                <c:ptCount val="21"/>
                <c:pt idx="0">
                  <c:v>439.74443418774467</c:v>
                </c:pt>
                <c:pt idx="1">
                  <c:v>528.53623440828733</c:v>
                </c:pt>
                <c:pt idx="2">
                  <c:v>579.0204118506233</c:v>
                </c:pt>
                <c:pt idx="3">
                  <c:v>740.86858648389307</c:v>
                </c:pt>
                <c:pt idx="4">
                  <c:v>746.18890355645306</c:v>
                </c:pt>
                <c:pt idx="5">
                  <c:v>946.12660105075599</c:v>
                </c:pt>
                <c:pt idx="6">
                  <c:v>828.48403211176606</c:v>
                </c:pt>
                <c:pt idx="7">
                  <c:v>921.82416243067598</c:v>
                </c:pt>
                <c:pt idx="8">
                  <c:v>1071.2213446937822</c:v>
                </c:pt>
                <c:pt idx="9">
                  <c:v>1105.3602889179024</c:v>
                </c:pt>
                <c:pt idx="10">
                  <c:v>1107.7000946084486</c:v>
                </c:pt>
                <c:pt idx="11">
                  <c:v>1247.6686660121188</c:v>
                </c:pt>
                <c:pt idx="12">
                  <c:v>1395.4228405837823</c:v>
                </c:pt>
                <c:pt idx="13">
                  <c:v>1442.1821038634966</c:v>
                </c:pt>
                <c:pt idx="14">
                  <c:v>1587.3964693393614</c:v>
                </c:pt>
                <c:pt idx="15">
                  <c:v>1644.0130795576872</c:v>
                </c:pt>
                <c:pt idx="16">
                  <c:v>1732.0248349102835</c:v>
                </c:pt>
                <c:pt idx="17">
                  <c:v>1759.1348757994631</c:v>
                </c:pt>
                <c:pt idx="18">
                  <c:v>1926.5465601772275</c:v>
                </c:pt>
                <c:pt idx="19">
                  <c:v>1984.0181945330669</c:v>
                </c:pt>
                <c:pt idx="20">
                  <c:v>2000</c:v>
                </c:pt>
              </c:numCache>
            </c:numRef>
          </c:val>
          <c:smooth val="0"/>
          <c:extLst>
            <c:ext xmlns:c16="http://schemas.microsoft.com/office/drawing/2014/chart" uri="{C3380CC4-5D6E-409C-BE32-E72D297353CC}">
              <c16:uniqueId val="{00000002-686F-4A9B-8F98-A2E89D318D24}"/>
            </c:ext>
          </c:extLst>
        </c:ser>
        <c:ser>
          <c:idx val="2"/>
          <c:order val="3"/>
          <c:tx>
            <c:strRef>
              <c:f>'Vårt 2025'!$D$19</c:f>
              <c:strCache>
                <c:ptCount val="1"/>
                <c:pt idx="0">
                  <c:v>Bio levert/innfyrt energi tempkorr</c:v>
                </c:pt>
              </c:strCache>
            </c:strRef>
          </c:tx>
          <c:spPr>
            <a:ln w="28575" cap="rnd">
              <a:solidFill>
                <a:schemeClr val="accent3"/>
              </a:solidFill>
              <a:round/>
            </a:ln>
            <a:effectLst/>
          </c:spPr>
          <c:marker>
            <c:symbol val="none"/>
          </c:marker>
          <c:cat>
            <c:strRef>
              <c:f>'Vårt 2025'!$E$15:$Y$15</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'Vårt 2025'!$E$19:$Y$19</c:f>
              <c:numCache>
                <c:formatCode>_ * #\ ##0_ ;_ * \-#\ ##0_ ;_ * "-"??_ ;_ @_ </c:formatCode>
                <c:ptCount val="21"/>
                <c:pt idx="0">
                  <c:v>6680.2639232115798</c:v>
                </c:pt>
                <c:pt idx="1">
                  <c:v>6822.8881977416322</c:v>
                </c:pt>
                <c:pt idx="2">
                  <c:v>6217.213688233458</c:v>
                </c:pt>
                <c:pt idx="3">
                  <c:v>6238.8779925197769</c:v>
                </c:pt>
                <c:pt idx="4">
                  <c:v>6160.2714565339102</c:v>
                </c:pt>
                <c:pt idx="5">
                  <c:v>5845.0413714284523</c:v>
                </c:pt>
                <c:pt idx="6">
                  <c:v>6576.877091451006</c:v>
                </c:pt>
                <c:pt idx="7">
                  <c:v>6567.1589312858032</c:v>
                </c:pt>
                <c:pt idx="8">
                  <c:v>4981.3455571371196</c:v>
                </c:pt>
                <c:pt idx="9">
                  <c:v>4877.6285565451999</c:v>
                </c:pt>
                <c:pt idx="10">
                  <c:v>4774.9763937767284</c:v>
                </c:pt>
                <c:pt idx="11">
                  <c:v>4395.976839821973</c:v>
                </c:pt>
                <c:pt idx="12">
                  <c:v>4748.7120178544628</c:v>
                </c:pt>
                <c:pt idx="13">
                  <c:v>4461.3996002565164</c:v>
                </c:pt>
                <c:pt idx="14">
                  <c:v>4034.3864624652001</c:v>
                </c:pt>
                <c:pt idx="15">
                  <c:v>4718.3994769823767</c:v>
                </c:pt>
                <c:pt idx="16">
                  <c:v>4947.0814705064722</c:v>
                </c:pt>
                <c:pt idx="17">
                  <c:v>5599.9142377733197</c:v>
                </c:pt>
                <c:pt idx="18">
                  <c:v>5065.0815548680339</c:v>
                </c:pt>
                <c:pt idx="19">
                  <c:v>4869.4888891564278</c:v>
                </c:pt>
                <c:pt idx="20" formatCode="#,##0">
                  <c:v>4875</c:v>
                </c:pt>
              </c:numCache>
            </c:numRef>
          </c:val>
          <c:smooth val="0"/>
          <c:extLst>
            <c:ext xmlns:c16="http://schemas.microsoft.com/office/drawing/2014/chart" uri="{C3380CC4-5D6E-409C-BE32-E72D297353CC}">
              <c16:uniqueId val="{00000003-686F-4A9B-8F98-A2E89D318D24}"/>
            </c:ext>
          </c:extLst>
        </c:ser>
        <c:dLbls>
          <c:showLegendKey val="0"/>
          <c:showVal val="0"/>
          <c:showCatName val="0"/>
          <c:showSerName val="0"/>
          <c:showPercent val="0"/>
          <c:showBubbleSize val="0"/>
        </c:dLbls>
        <c:smooth val="0"/>
        <c:axId val="586936672"/>
        <c:axId val="586934272"/>
      </c:lineChart>
      <c:catAx>
        <c:axId val="586936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86934272"/>
        <c:crosses val="autoZero"/>
        <c:auto val="1"/>
        <c:lblAlgn val="ctr"/>
        <c:lblOffset val="100"/>
        <c:noMultiLvlLbl val="0"/>
      </c:catAx>
      <c:valAx>
        <c:axId val="586934272"/>
        <c:scaling>
          <c:orientation val="minMax"/>
        </c:scaling>
        <c:delete val="0"/>
        <c:axPos val="l"/>
        <c:majorGridlines>
          <c:spPr>
            <a:ln w="9525" cap="flat" cmpd="sng" algn="ctr">
              <a:solidFill>
                <a:schemeClr val="tx1">
                  <a:lumMod val="15000"/>
                  <a:lumOff val="85000"/>
                </a:schemeClr>
              </a:solidFill>
              <a:round/>
            </a:ln>
            <a:effectLst/>
          </c:spPr>
        </c:majorGridlines>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86936672"/>
        <c:crosses val="autoZero"/>
        <c:crossBetween val="between"/>
      </c:valAx>
      <c:spPr>
        <a:noFill/>
        <a:ln>
          <a:noFill/>
        </a:ln>
        <a:effectLst/>
      </c:spPr>
    </c:plotArea>
    <c:legend>
      <c:legendPos val="r"/>
      <c:layout>
        <c:manualLayout>
          <c:xMode val="edge"/>
          <c:yMode val="edge"/>
          <c:x val="0.7317303149606299"/>
          <c:y val="0.31733559346748325"/>
          <c:w val="0.2682696850393701"/>
          <c:h val="0.38426363371245259"/>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Yrkesbygg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manualLayout>
          <c:layoutTarget val="inner"/>
          <c:xMode val="edge"/>
          <c:yMode val="edge"/>
          <c:x val="0.12153958880139983"/>
          <c:y val="0.17171296296296296"/>
          <c:w val="0.66083639545056871"/>
          <c:h val="0.67607210557013708"/>
        </c:manualLayout>
      </c:layout>
      <c:areaChart>
        <c:grouping val="stacked"/>
        <c:varyColors val="0"/>
        <c:ser>
          <c:idx val="0"/>
          <c:order val="0"/>
          <c:tx>
            <c:strRef>
              <c:f>'Vårt 2025'!$D$20</c:f>
              <c:strCache>
                <c:ptCount val="1"/>
                <c:pt idx="0">
                  <c:v>Elektrisitet uten VP tempkorr</c:v>
                </c:pt>
              </c:strCache>
            </c:strRef>
          </c:tx>
          <c:spPr>
            <a:solidFill>
              <a:schemeClr val="accent1"/>
            </a:solidFill>
            <a:ln w="25400">
              <a:noFill/>
            </a:ln>
            <a:effectLst/>
          </c:spP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2025'!$O$20:$Y$20</c:f>
              <c:numCache>
                <c:formatCode>_ * #\ ##0_ ;_ * \-#\ ##0_ ;_ * "-"??_ ;_ @_ </c:formatCode>
                <c:ptCount val="11"/>
                <c:pt idx="0">
                  <c:v>23258.134336680043</c:v>
                </c:pt>
                <c:pt idx="1">
                  <c:v>23311.351155160461</c:v>
                </c:pt>
                <c:pt idx="2">
                  <c:v>23054.383448385441</c:v>
                </c:pt>
                <c:pt idx="3">
                  <c:v>23464.413026195743</c:v>
                </c:pt>
                <c:pt idx="4">
                  <c:v>22989.529343928138</c:v>
                </c:pt>
                <c:pt idx="5">
                  <c:v>23280.241524035442</c:v>
                </c:pt>
                <c:pt idx="6">
                  <c:v>23210.958035739786</c:v>
                </c:pt>
                <c:pt idx="7">
                  <c:v>21563.77213883444</c:v>
                </c:pt>
                <c:pt idx="8">
                  <c:v>20391.287234430587</c:v>
                </c:pt>
                <c:pt idx="9">
                  <c:v>20724.0781458809</c:v>
                </c:pt>
                <c:pt idx="10">
                  <c:v>21184.275888629556</c:v>
                </c:pt>
              </c:numCache>
            </c:numRef>
          </c:val>
          <c:extLst>
            <c:ext xmlns:c16="http://schemas.microsoft.com/office/drawing/2014/chart" uri="{C3380CC4-5D6E-409C-BE32-E72D297353CC}">
              <c16:uniqueId val="{00000000-F7FB-4B41-B16E-0DB7AB21E31D}"/>
            </c:ext>
          </c:extLst>
        </c:ser>
        <c:ser>
          <c:idx val="3"/>
          <c:order val="1"/>
          <c:tx>
            <c:strRef>
              <c:f>'Vårt 2025'!$D$21</c:f>
              <c:strCache>
                <c:ptCount val="1"/>
                <c:pt idx="0">
                  <c:v>Elektristet til VP</c:v>
                </c:pt>
              </c:strCache>
            </c:strRef>
          </c:tx>
          <c:spPr>
            <a:solidFill>
              <a:schemeClr val="accent1">
                <a:lumMod val="40000"/>
                <a:lumOff val="60000"/>
              </a:schemeClr>
            </a:solidFill>
            <a:ln w="25400">
              <a:noFill/>
            </a:ln>
            <a:effectLst/>
          </c:spP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2025'!$O$21:$Y$21</c:f>
              <c:numCache>
                <c:formatCode>_ * #\ ##0_ ;_ * \-#\ ##0_ ;_ * "-"??_ ;_ @_ </c:formatCode>
                <c:ptCount val="11"/>
                <c:pt idx="0">
                  <c:v>1755.4264936516574</c:v>
                </c:pt>
                <c:pt idx="1">
                  <c:v>1855.4305817525367</c:v>
                </c:pt>
                <c:pt idx="2">
                  <c:v>1961.7272651409592</c:v>
                </c:pt>
                <c:pt idx="3">
                  <c:v>2097.5451595025538</c:v>
                </c:pt>
                <c:pt idx="4">
                  <c:v>2204.7120534087635</c:v>
                </c:pt>
                <c:pt idx="5">
                  <c:v>2262.1038514969591</c:v>
                </c:pt>
                <c:pt idx="6">
                  <c:v>2338.9720750894126</c:v>
                </c:pt>
                <c:pt idx="7">
                  <c:v>2455.3639676340604</c:v>
                </c:pt>
                <c:pt idx="8">
                  <c:v>2587.1852138480153</c:v>
                </c:pt>
                <c:pt idx="9">
                  <c:v>2653</c:v>
                </c:pt>
                <c:pt idx="10">
                  <c:v>2704.7482113704409</c:v>
                </c:pt>
              </c:numCache>
            </c:numRef>
          </c:val>
          <c:extLst>
            <c:ext xmlns:c16="http://schemas.microsoft.com/office/drawing/2014/chart" uri="{C3380CC4-5D6E-409C-BE32-E72D297353CC}">
              <c16:uniqueId val="{00000001-F7FB-4B41-B16E-0DB7AB21E31D}"/>
            </c:ext>
          </c:extLst>
        </c:ser>
        <c:ser>
          <c:idx val="1"/>
          <c:order val="2"/>
          <c:tx>
            <c:strRef>
              <c:f>'Vårt 2025'!$D$22</c:f>
              <c:strCache>
                <c:ptCount val="1"/>
                <c:pt idx="0">
                  <c:v>Fjernvarme tempkorr</c:v>
                </c:pt>
              </c:strCache>
            </c:strRef>
          </c:tx>
          <c:spPr>
            <a:solidFill>
              <a:schemeClr val="accent2"/>
            </a:solidFill>
            <a:ln w="25400">
              <a:noFill/>
            </a:ln>
            <a:effectLst/>
          </c:spP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2025'!$O$22:$Y$22</c:f>
              <c:numCache>
                <c:formatCode>_ * #\ ##0_ ;_ * \-#\ ##0_ ;_ * "-"??_ ;_ @_ </c:formatCode>
                <c:ptCount val="11"/>
                <c:pt idx="0">
                  <c:v>3376.2953735473498</c:v>
                </c:pt>
                <c:pt idx="1">
                  <c:v>3482.7672620062704</c:v>
                </c:pt>
                <c:pt idx="2">
                  <c:v>3415.3785691506037</c:v>
                </c:pt>
                <c:pt idx="3">
                  <c:v>3654.4735047946142</c:v>
                </c:pt>
                <c:pt idx="4">
                  <c:v>3654.3985363357438</c:v>
                </c:pt>
                <c:pt idx="5">
                  <c:v>3476.882275143596</c:v>
                </c:pt>
                <c:pt idx="6">
                  <c:v>3850.697123721372</c:v>
                </c:pt>
                <c:pt idx="7">
                  <c:v>3834.486907127759</c:v>
                </c:pt>
                <c:pt idx="8">
                  <c:v>3999.5488810580187</c:v>
                </c:pt>
                <c:pt idx="9" formatCode="#,##0">
                  <c:v>4113.4687353048312</c:v>
                </c:pt>
                <c:pt idx="10" formatCode="#,##0">
                  <c:v>4200</c:v>
                </c:pt>
              </c:numCache>
            </c:numRef>
          </c:val>
          <c:extLst>
            <c:ext xmlns:c16="http://schemas.microsoft.com/office/drawing/2014/chart" uri="{C3380CC4-5D6E-409C-BE32-E72D297353CC}">
              <c16:uniqueId val="{00000002-F7FB-4B41-B16E-0DB7AB21E31D}"/>
            </c:ext>
          </c:extLst>
        </c:ser>
        <c:dLbls>
          <c:showLegendKey val="0"/>
          <c:showVal val="0"/>
          <c:showCatName val="0"/>
          <c:showSerName val="0"/>
          <c:showPercent val="0"/>
          <c:showBubbleSize val="0"/>
        </c:dLbls>
        <c:axId val="586936672"/>
        <c:axId val="586934272"/>
      </c:areaChart>
      <c:catAx>
        <c:axId val="586936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86934272"/>
        <c:crosses val="autoZero"/>
        <c:auto val="1"/>
        <c:lblAlgn val="ctr"/>
        <c:lblOffset val="100"/>
        <c:noMultiLvlLbl val="0"/>
      </c:catAx>
      <c:valAx>
        <c:axId val="586934272"/>
        <c:scaling>
          <c:orientation val="minMax"/>
        </c:scaling>
        <c:delete val="0"/>
        <c:axPos val="l"/>
        <c:majorGridlines>
          <c:spPr>
            <a:ln w="9525" cap="flat" cmpd="sng" algn="ctr">
              <a:solidFill>
                <a:schemeClr val="tx1">
                  <a:lumMod val="15000"/>
                  <a:lumOff val="85000"/>
                </a:schemeClr>
              </a:solidFill>
              <a:round/>
            </a:ln>
            <a:effectLst/>
          </c:spPr>
        </c:majorGridlines>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86936672"/>
        <c:crosses val="autoZero"/>
        <c:crossBetween val="midCat"/>
      </c:valAx>
      <c:spPr>
        <a:noFill/>
        <a:ln>
          <a:noFill/>
        </a:ln>
        <a:effectLst/>
      </c:spPr>
    </c:plotArea>
    <c:legend>
      <c:legendPos val="r"/>
      <c:layout>
        <c:manualLayout>
          <c:xMode val="edge"/>
          <c:yMode val="edge"/>
          <c:x val="0.78173031496062995"/>
          <c:y val="0.30807633420822395"/>
          <c:w val="0.21549190726159231"/>
          <c:h val="0.513893263342082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Yrkesbygg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manualLayout>
          <c:layoutTarget val="inner"/>
          <c:xMode val="edge"/>
          <c:yMode val="edge"/>
          <c:x val="0.12153958880139983"/>
          <c:y val="0.17171296296296296"/>
          <c:w val="0.66083639545056871"/>
          <c:h val="0.67607210557013708"/>
        </c:manualLayout>
      </c:layout>
      <c:lineChart>
        <c:grouping val="standard"/>
        <c:varyColors val="0"/>
        <c:ser>
          <c:idx val="0"/>
          <c:order val="0"/>
          <c:tx>
            <c:strRef>
              <c:f>'Vårt 2025'!$D$20</c:f>
              <c:strCache>
                <c:ptCount val="1"/>
                <c:pt idx="0">
                  <c:v>Elektrisitet uten VP tempkorr</c:v>
                </c:pt>
              </c:strCache>
            </c:strRef>
          </c:tx>
          <c:spPr>
            <a:ln w="28575" cap="rnd">
              <a:solidFill>
                <a:schemeClr val="accent1"/>
              </a:solidFill>
              <a:round/>
            </a:ln>
            <a:effectLst/>
          </c:spPr>
          <c:marker>
            <c:symbol val="none"/>
          </c:marke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2025'!$O$20:$Y$20</c:f>
              <c:numCache>
                <c:formatCode>_ * #\ ##0_ ;_ * \-#\ ##0_ ;_ * "-"??_ ;_ @_ </c:formatCode>
                <c:ptCount val="11"/>
                <c:pt idx="0">
                  <c:v>23258.134336680043</c:v>
                </c:pt>
                <c:pt idx="1">
                  <c:v>23311.351155160461</c:v>
                </c:pt>
                <c:pt idx="2">
                  <c:v>23054.383448385441</c:v>
                </c:pt>
                <c:pt idx="3">
                  <c:v>23464.413026195743</c:v>
                </c:pt>
                <c:pt idx="4">
                  <c:v>22989.529343928138</c:v>
                </c:pt>
                <c:pt idx="5">
                  <c:v>23280.241524035442</c:v>
                </c:pt>
                <c:pt idx="6">
                  <c:v>23210.958035739786</c:v>
                </c:pt>
                <c:pt idx="7">
                  <c:v>21563.77213883444</c:v>
                </c:pt>
                <c:pt idx="8">
                  <c:v>20391.287234430587</c:v>
                </c:pt>
                <c:pt idx="9">
                  <c:v>20724.0781458809</c:v>
                </c:pt>
                <c:pt idx="10">
                  <c:v>21184.275888629556</c:v>
                </c:pt>
              </c:numCache>
            </c:numRef>
          </c:val>
          <c:smooth val="0"/>
          <c:extLst>
            <c:ext xmlns:c16="http://schemas.microsoft.com/office/drawing/2014/chart" uri="{C3380CC4-5D6E-409C-BE32-E72D297353CC}">
              <c16:uniqueId val="{00000000-408F-4E5D-AE87-859C0BF2D8D6}"/>
            </c:ext>
          </c:extLst>
        </c:ser>
        <c:ser>
          <c:idx val="3"/>
          <c:order val="1"/>
          <c:tx>
            <c:strRef>
              <c:f>'Vårt 2025'!$D$21</c:f>
              <c:strCache>
                <c:ptCount val="1"/>
                <c:pt idx="0">
                  <c:v>Elektristet til VP</c:v>
                </c:pt>
              </c:strCache>
            </c:strRef>
          </c:tx>
          <c:spPr>
            <a:ln w="28575" cap="rnd">
              <a:solidFill>
                <a:schemeClr val="accent1">
                  <a:lumMod val="40000"/>
                  <a:lumOff val="60000"/>
                </a:schemeClr>
              </a:solidFill>
              <a:round/>
            </a:ln>
            <a:effectLst/>
          </c:spPr>
          <c:marker>
            <c:symbol val="none"/>
          </c:marke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2025'!$O$21:$Y$21</c:f>
              <c:numCache>
                <c:formatCode>_ * #\ ##0_ ;_ * \-#\ ##0_ ;_ * "-"??_ ;_ @_ </c:formatCode>
                <c:ptCount val="11"/>
                <c:pt idx="0">
                  <c:v>1755.4264936516574</c:v>
                </c:pt>
                <c:pt idx="1">
                  <c:v>1855.4305817525367</c:v>
                </c:pt>
                <c:pt idx="2">
                  <c:v>1961.7272651409592</c:v>
                </c:pt>
                <c:pt idx="3">
                  <c:v>2097.5451595025538</c:v>
                </c:pt>
                <c:pt idx="4">
                  <c:v>2204.7120534087635</c:v>
                </c:pt>
                <c:pt idx="5">
                  <c:v>2262.1038514969591</c:v>
                </c:pt>
                <c:pt idx="6">
                  <c:v>2338.9720750894126</c:v>
                </c:pt>
                <c:pt idx="7">
                  <c:v>2455.3639676340604</c:v>
                </c:pt>
                <c:pt idx="8">
                  <c:v>2587.1852138480153</c:v>
                </c:pt>
                <c:pt idx="9">
                  <c:v>2653</c:v>
                </c:pt>
                <c:pt idx="10">
                  <c:v>2704.7482113704409</c:v>
                </c:pt>
              </c:numCache>
            </c:numRef>
          </c:val>
          <c:smooth val="0"/>
          <c:extLst>
            <c:ext xmlns:c16="http://schemas.microsoft.com/office/drawing/2014/chart" uri="{C3380CC4-5D6E-409C-BE32-E72D297353CC}">
              <c16:uniqueId val="{00000001-408F-4E5D-AE87-859C0BF2D8D6}"/>
            </c:ext>
          </c:extLst>
        </c:ser>
        <c:ser>
          <c:idx val="1"/>
          <c:order val="2"/>
          <c:tx>
            <c:strRef>
              <c:f>'Vårt 2025'!$D$22</c:f>
              <c:strCache>
                <c:ptCount val="1"/>
                <c:pt idx="0">
                  <c:v>Fjernvarme tempkorr</c:v>
                </c:pt>
              </c:strCache>
            </c:strRef>
          </c:tx>
          <c:spPr>
            <a:ln w="28575" cap="rnd">
              <a:solidFill>
                <a:schemeClr val="accent2"/>
              </a:solidFill>
              <a:round/>
            </a:ln>
            <a:effectLst/>
          </c:spPr>
          <c:marker>
            <c:symbol val="none"/>
          </c:marke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2025'!$O$22:$Y$22</c:f>
              <c:numCache>
                <c:formatCode>_ * #\ ##0_ ;_ * \-#\ ##0_ ;_ * "-"??_ ;_ @_ </c:formatCode>
                <c:ptCount val="11"/>
                <c:pt idx="0">
                  <c:v>3376.2953735473498</c:v>
                </c:pt>
                <c:pt idx="1">
                  <c:v>3482.7672620062704</c:v>
                </c:pt>
                <c:pt idx="2">
                  <c:v>3415.3785691506037</c:v>
                </c:pt>
                <c:pt idx="3">
                  <c:v>3654.4735047946142</c:v>
                </c:pt>
                <c:pt idx="4">
                  <c:v>3654.3985363357438</c:v>
                </c:pt>
                <c:pt idx="5">
                  <c:v>3476.882275143596</c:v>
                </c:pt>
                <c:pt idx="6">
                  <c:v>3850.697123721372</c:v>
                </c:pt>
                <c:pt idx="7">
                  <c:v>3834.486907127759</c:v>
                </c:pt>
                <c:pt idx="8">
                  <c:v>3999.5488810580187</c:v>
                </c:pt>
                <c:pt idx="9" formatCode="#,##0">
                  <c:v>4113.4687353048312</c:v>
                </c:pt>
                <c:pt idx="10" formatCode="#,##0">
                  <c:v>4200</c:v>
                </c:pt>
              </c:numCache>
            </c:numRef>
          </c:val>
          <c:smooth val="0"/>
          <c:extLst>
            <c:ext xmlns:c16="http://schemas.microsoft.com/office/drawing/2014/chart" uri="{C3380CC4-5D6E-409C-BE32-E72D297353CC}">
              <c16:uniqueId val="{00000002-408F-4E5D-AE87-859C0BF2D8D6}"/>
            </c:ext>
          </c:extLst>
        </c:ser>
        <c:dLbls>
          <c:showLegendKey val="0"/>
          <c:showVal val="0"/>
          <c:showCatName val="0"/>
          <c:showSerName val="0"/>
          <c:showPercent val="0"/>
          <c:showBubbleSize val="0"/>
        </c:dLbls>
        <c:smooth val="0"/>
        <c:axId val="586936672"/>
        <c:axId val="586934272"/>
      </c:lineChart>
      <c:catAx>
        <c:axId val="586936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86934272"/>
        <c:crosses val="autoZero"/>
        <c:auto val="1"/>
        <c:lblAlgn val="ctr"/>
        <c:lblOffset val="100"/>
        <c:noMultiLvlLbl val="0"/>
      </c:catAx>
      <c:valAx>
        <c:axId val="586934272"/>
        <c:scaling>
          <c:orientation val="minMax"/>
        </c:scaling>
        <c:delete val="0"/>
        <c:axPos val="l"/>
        <c:majorGridlines>
          <c:spPr>
            <a:ln w="9525" cap="flat" cmpd="sng" algn="ctr">
              <a:solidFill>
                <a:schemeClr val="tx1">
                  <a:lumMod val="15000"/>
                  <a:lumOff val="85000"/>
                </a:schemeClr>
              </a:solidFill>
              <a:round/>
            </a:ln>
            <a:effectLst/>
          </c:spPr>
        </c:majorGridlines>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86936672"/>
        <c:crosses val="autoZero"/>
        <c:crossBetween val="between"/>
      </c:valAx>
      <c:spPr>
        <a:noFill/>
        <a:ln>
          <a:noFill/>
        </a:ln>
        <a:effectLst/>
      </c:spPr>
    </c:plotArea>
    <c:legend>
      <c:legendPos val="r"/>
      <c:layout>
        <c:manualLayout>
          <c:xMode val="edge"/>
          <c:yMode val="edge"/>
          <c:x val="0.74839698162729651"/>
          <c:y val="0.40066892680081656"/>
          <c:w val="0.25160301837270344"/>
          <c:h val="0.29745698454359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09514435695537"/>
          <c:y val="5.0925925925925923E-2"/>
          <c:w val="0.68481692913385828"/>
          <c:h val="0.80808690580344122"/>
        </c:manualLayout>
      </c:layout>
      <c:areaChart>
        <c:grouping val="stacked"/>
        <c:varyColors val="0"/>
        <c:ser>
          <c:idx val="0"/>
          <c:order val="0"/>
          <c:tx>
            <c:strRef>
              <c:f>'Vårt 2025'!$D$28</c:f>
              <c:strCache>
                <c:ptCount val="1"/>
                <c:pt idx="0">
                  <c:v>Strøm</c:v>
                </c:pt>
              </c:strCache>
            </c:strRef>
          </c:tx>
          <c:spPr>
            <a:solidFill>
              <a:schemeClr val="accent1"/>
            </a:solidFill>
            <a:ln>
              <a:noFill/>
            </a:ln>
            <a:effectLst/>
          </c:spP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2025'!$O$28:$Y$28</c:f>
              <c:numCache>
                <c:formatCode>_ * #\ ##0_ ;_ * \-#\ ##0_ ;_ * "-"??_ ;_ @_ </c:formatCode>
                <c:ptCount val="11"/>
                <c:pt idx="0">
                  <c:v>63238.462420038268</c:v>
                </c:pt>
                <c:pt idx="1">
                  <c:v>63521.624207373883</c:v>
                </c:pt>
                <c:pt idx="2">
                  <c:v>63399.000728910396</c:v>
                </c:pt>
                <c:pt idx="3">
                  <c:v>64208.203058233456</c:v>
                </c:pt>
                <c:pt idx="4">
                  <c:v>63501.612249605758</c:v>
                </c:pt>
                <c:pt idx="5">
                  <c:v>66462.023503107019</c:v>
                </c:pt>
                <c:pt idx="6">
                  <c:v>64822.682734562928</c:v>
                </c:pt>
                <c:pt idx="7">
                  <c:v>59623.590823108018</c:v>
                </c:pt>
                <c:pt idx="8">
                  <c:v>59418.733316911312</c:v>
                </c:pt>
                <c:pt idx="9">
                  <c:v>61920.955841102135</c:v>
                </c:pt>
                <c:pt idx="10">
                  <c:v>62222.574399999998</c:v>
                </c:pt>
              </c:numCache>
            </c:numRef>
          </c:val>
          <c:extLst>
            <c:ext xmlns:c16="http://schemas.microsoft.com/office/drawing/2014/chart" uri="{C3380CC4-5D6E-409C-BE32-E72D297353CC}">
              <c16:uniqueId val="{00000000-BD1B-4233-BDE7-7A3C07977674}"/>
            </c:ext>
          </c:extLst>
        </c:ser>
        <c:ser>
          <c:idx val="1"/>
          <c:order val="1"/>
          <c:tx>
            <c:strRef>
              <c:f>'Vårt 2025'!$D$29</c:f>
              <c:strCache>
                <c:ptCount val="1"/>
                <c:pt idx="0">
                  <c:v>Fjernvarme</c:v>
                </c:pt>
              </c:strCache>
            </c:strRef>
          </c:tx>
          <c:spPr>
            <a:solidFill>
              <a:schemeClr val="accent2"/>
            </a:solidFill>
            <a:ln>
              <a:noFill/>
            </a:ln>
            <a:effectLst/>
          </c:spP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2025'!$O$29:$Y$29</c:f>
              <c:numCache>
                <c:formatCode>_ * #\ ##0_ ;_ * \-#\ ##0_ ;_ * "-"??_ ;_ @_ </c:formatCode>
                <c:ptCount val="11"/>
                <c:pt idx="0">
                  <c:v>4483.9954681557983</c:v>
                </c:pt>
                <c:pt idx="1">
                  <c:v>4730.4359280183889</c:v>
                </c:pt>
                <c:pt idx="2">
                  <c:v>4810.8014097343857</c:v>
                </c:pt>
                <c:pt idx="3">
                  <c:v>5096.6556086581113</c:v>
                </c:pt>
                <c:pt idx="4">
                  <c:v>5241.7950056751051</c:v>
                </c:pt>
                <c:pt idx="5">
                  <c:v>5120.8953547012834</c:v>
                </c:pt>
                <c:pt idx="6">
                  <c:v>5582.7219586316551</c:v>
                </c:pt>
                <c:pt idx="7">
                  <c:v>5593.6217829272218</c:v>
                </c:pt>
                <c:pt idx="8">
                  <c:v>5926.0954412352457</c:v>
                </c:pt>
                <c:pt idx="9">
                  <c:v>6097.4869298378981</c:v>
                </c:pt>
                <c:pt idx="10">
                  <c:v>6200</c:v>
                </c:pt>
              </c:numCache>
            </c:numRef>
          </c:val>
          <c:extLst>
            <c:ext xmlns:c16="http://schemas.microsoft.com/office/drawing/2014/chart" uri="{C3380CC4-5D6E-409C-BE32-E72D297353CC}">
              <c16:uniqueId val="{00000001-BD1B-4233-BDE7-7A3C07977674}"/>
            </c:ext>
          </c:extLst>
        </c:ser>
        <c:ser>
          <c:idx val="2"/>
          <c:order val="2"/>
          <c:tx>
            <c:strRef>
              <c:f>'Vårt 2025'!$D$30</c:f>
              <c:strCache>
                <c:ptCount val="1"/>
                <c:pt idx="0">
                  <c:v>Ved</c:v>
                </c:pt>
              </c:strCache>
            </c:strRef>
          </c:tx>
          <c:spPr>
            <a:solidFill>
              <a:schemeClr val="accent3"/>
            </a:solidFill>
            <a:ln>
              <a:noFill/>
            </a:ln>
            <a:effectLst/>
          </c:spP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2025'!$O$30:$Y$30</c:f>
              <c:numCache>
                <c:formatCode>_ * #\ ##0_ ;_ * \-#\ ##0_ ;_ * "-"??_ ;_ @_ </c:formatCode>
                <c:ptCount val="11"/>
                <c:pt idx="0">
                  <c:v>4774.9763937767284</c:v>
                </c:pt>
                <c:pt idx="1">
                  <c:v>4395.976839821973</c:v>
                </c:pt>
                <c:pt idx="2">
                  <c:v>4748.7120178544628</c:v>
                </c:pt>
                <c:pt idx="3">
                  <c:v>4461.3996002565164</c:v>
                </c:pt>
                <c:pt idx="4">
                  <c:v>4034.3864624652001</c:v>
                </c:pt>
                <c:pt idx="5">
                  <c:v>4718.3994769823767</c:v>
                </c:pt>
                <c:pt idx="6">
                  <c:v>4947.0814705064722</c:v>
                </c:pt>
                <c:pt idx="7">
                  <c:v>5599.9142377733197</c:v>
                </c:pt>
                <c:pt idx="8">
                  <c:v>5065.0815548680339</c:v>
                </c:pt>
                <c:pt idx="9">
                  <c:v>4869.4888891564278</c:v>
                </c:pt>
                <c:pt idx="10">
                  <c:v>4875</c:v>
                </c:pt>
              </c:numCache>
            </c:numRef>
          </c:val>
          <c:extLst>
            <c:ext xmlns:c16="http://schemas.microsoft.com/office/drawing/2014/chart" uri="{C3380CC4-5D6E-409C-BE32-E72D297353CC}">
              <c16:uniqueId val="{00000002-BD1B-4233-BDE7-7A3C07977674}"/>
            </c:ext>
          </c:extLst>
        </c:ser>
        <c:dLbls>
          <c:showLegendKey val="0"/>
          <c:showVal val="0"/>
          <c:showCatName val="0"/>
          <c:showSerName val="0"/>
          <c:showPercent val="0"/>
          <c:showBubbleSize val="0"/>
        </c:dLbls>
        <c:axId val="139441152"/>
        <c:axId val="139443072"/>
      </c:areaChart>
      <c:catAx>
        <c:axId val="13944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9443072"/>
        <c:crosses val="autoZero"/>
        <c:auto val="1"/>
        <c:lblAlgn val="ctr"/>
        <c:lblOffset val="100"/>
        <c:noMultiLvlLbl val="0"/>
      </c:catAx>
      <c:valAx>
        <c:axId val="13944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GWh/år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9441152"/>
        <c:crosses val="autoZero"/>
        <c:crossBetween val="midCat"/>
      </c:valAx>
      <c:spPr>
        <a:noFill/>
        <a:ln>
          <a:noFill/>
        </a:ln>
        <a:effectLst/>
      </c:spPr>
    </c:plotArea>
    <c:legend>
      <c:legendPos val="r"/>
      <c:layout>
        <c:manualLayout>
          <c:xMode val="edge"/>
          <c:yMode val="edge"/>
          <c:x val="0.83968985126859153"/>
          <c:y val="0.37818205016039658"/>
          <c:w val="0.16031014873140859"/>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09514435695537"/>
          <c:y val="5.0925925925925923E-2"/>
          <c:w val="0.82370581802274712"/>
          <c:h val="0.80808690580344122"/>
        </c:manualLayout>
      </c:layout>
      <c:lineChart>
        <c:grouping val="standard"/>
        <c:varyColors val="0"/>
        <c:ser>
          <c:idx val="0"/>
          <c:order val="0"/>
          <c:tx>
            <c:strRef>
              <c:f>'Vårt 2025'!$D$28</c:f>
              <c:strCache>
                <c:ptCount val="1"/>
                <c:pt idx="0">
                  <c:v>Strøm</c:v>
                </c:pt>
              </c:strCache>
            </c:strRef>
          </c:tx>
          <c:spPr>
            <a:ln w="28575" cap="rnd">
              <a:solidFill>
                <a:schemeClr val="accent1"/>
              </a:solidFill>
              <a:round/>
            </a:ln>
            <a:effectLst/>
          </c:spPr>
          <c:marker>
            <c:symbol val="none"/>
          </c:marke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2025'!$O$28:$Y$28</c:f>
              <c:numCache>
                <c:formatCode>_ * #\ ##0_ ;_ * \-#\ ##0_ ;_ * "-"??_ ;_ @_ </c:formatCode>
                <c:ptCount val="11"/>
                <c:pt idx="0">
                  <c:v>63238.462420038268</c:v>
                </c:pt>
                <c:pt idx="1">
                  <c:v>63521.624207373883</c:v>
                </c:pt>
                <c:pt idx="2">
                  <c:v>63399.000728910396</c:v>
                </c:pt>
                <c:pt idx="3">
                  <c:v>64208.203058233456</c:v>
                </c:pt>
                <c:pt idx="4">
                  <c:v>63501.612249605758</c:v>
                </c:pt>
                <c:pt idx="5">
                  <c:v>66462.023503107019</c:v>
                </c:pt>
                <c:pt idx="6">
                  <c:v>64822.682734562928</c:v>
                </c:pt>
                <c:pt idx="7">
                  <c:v>59623.590823108018</c:v>
                </c:pt>
                <c:pt idx="8">
                  <c:v>59418.733316911312</c:v>
                </c:pt>
                <c:pt idx="9">
                  <c:v>61920.955841102135</c:v>
                </c:pt>
                <c:pt idx="10">
                  <c:v>62222.574399999998</c:v>
                </c:pt>
              </c:numCache>
            </c:numRef>
          </c:val>
          <c:smooth val="0"/>
          <c:extLst>
            <c:ext xmlns:c16="http://schemas.microsoft.com/office/drawing/2014/chart" uri="{C3380CC4-5D6E-409C-BE32-E72D297353CC}">
              <c16:uniqueId val="{00000000-8273-45F9-BB5D-9C9C999B3116}"/>
            </c:ext>
          </c:extLst>
        </c:ser>
        <c:ser>
          <c:idx val="1"/>
          <c:order val="1"/>
          <c:tx>
            <c:strRef>
              <c:f>'Vårt 2025'!$D$29</c:f>
              <c:strCache>
                <c:ptCount val="1"/>
                <c:pt idx="0">
                  <c:v>Fjernvarme</c:v>
                </c:pt>
              </c:strCache>
            </c:strRef>
          </c:tx>
          <c:spPr>
            <a:ln w="28575" cap="rnd">
              <a:solidFill>
                <a:schemeClr val="accent2"/>
              </a:solidFill>
              <a:round/>
            </a:ln>
            <a:effectLst/>
          </c:spPr>
          <c:marker>
            <c:symbol val="none"/>
          </c:marke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2025'!$O$29:$Y$29</c:f>
              <c:numCache>
                <c:formatCode>_ * #\ ##0_ ;_ * \-#\ ##0_ ;_ * "-"??_ ;_ @_ </c:formatCode>
                <c:ptCount val="11"/>
                <c:pt idx="0">
                  <c:v>4483.9954681557983</c:v>
                </c:pt>
                <c:pt idx="1">
                  <c:v>4730.4359280183889</c:v>
                </c:pt>
                <c:pt idx="2">
                  <c:v>4810.8014097343857</c:v>
                </c:pt>
                <c:pt idx="3">
                  <c:v>5096.6556086581113</c:v>
                </c:pt>
                <c:pt idx="4">
                  <c:v>5241.7950056751051</c:v>
                </c:pt>
                <c:pt idx="5">
                  <c:v>5120.8953547012834</c:v>
                </c:pt>
                <c:pt idx="6">
                  <c:v>5582.7219586316551</c:v>
                </c:pt>
                <c:pt idx="7">
                  <c:v>5593.6217829272218</c:v>
                </c:pt>
                <c:pt idx="8">
                  <c:v>5926.0954412352457</c:v>
                </c:pt>
                <c:pt idx="9">
                  <c:v>6097.4869298378981</c:v>
                </c:pt>
                <c:pt idx="10">
                  <c:v>6200</c:v>
                </c:pt>
              </c:numCache>
            </c:numRef>
          </c:val>
          <c:smooth val="0"/>
          <c:extLst>
            <c:ext xmlns:c16="http://schemas.microsoft.com/office/drawing/2014/chart" uri="{C3380CC4-5D6E-409C-BE32-E72D297353CC}">
              <c16:uniqueId val="{00000001-8273-45F9-BB5D-9C9C999B3116}"/>
            </c:ext>
          </c:extLst>
        </c:ser>
        <c:ser>
          <c:idx val="2"/>
          <c:order val="2"/>
          <c:tx>
            <c:strRef>
              <c:f>'Vårt 2025'!$D$30</c:f>
              <c:strCache>
                <c:ptCount val="1"/>
                <c:pt idx="0">
                  <c:v>Ved</c:v>
                </c:pt>
              </c:strCache>
            </c:strRef>
          </c:tx>
          <c:spPr>
            <a:ln w="28575" cap="rnd">
              <a:solidFill>
                <a:schemeClr val="accent3"/>
              </a:solidFill>
              <a:round/>
            </a:ln>
            <a:effectLst/>
          </c:spPr>
          <c:marker>
            <c:symbol val="none"/>
          </c:marker>
          <c:cat>
            <c:strRef>
              <c:f>'Vårt 2025'!$O$15:$Y$15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'Vårt 2025'!$O$30:$Y$30</c:f>
              <c:numCache>
                <c:formatCode>_ * #\ ##0_ ;_ * \-#\ ##0_ ;_ * "-"??_ ;_ @_ </c:formatCode>
                <c:ptCount val="11"/>
                <c:pt idx="0">
                  <c:v>4774.9763937767284</c:v>
                </c:pt>
                <c:pt idx="1">
                  <c:v>4395.976839821973</c:v>
                </c:pt>
                <c:pt idx="2">
                  <c:v>4748.7120178544628</c:v>
                </c:pt>
                <c:pt idx="3">
                  <c:v>4461.3996002565164</c:v>
                </c:pt>
                <c:pt idx="4">
                  <c:v>4034.3864624652001</c:v>
                </c:pt>
                <c:pt idx="5">
                  <c:v>4718.3994769823767</c:v>
                </c:pt>
                <c:pt idx="6">
                  <c:v>4947.0814705064722</c:v>
                </c:pt>
                <c:pt idx="7">
                  <c:v>5599.9142377733197</c:v>
                </c:pt>
                <c:pt idx="8">
                  <c:v>5065.0815548680339</c:v>
                </c:pt>
                <c:pt idx="9">
                  <c:v>4869.4888891564278</c:v>
                </c:pt>
                <c:pt idx="10">
                  <c:v>4875</c:v>
                </c:pt>
              </c:numCache>
            </c:numRef>
          </c:val>
          <c:smooth val="0"/>
          <c:extLst>
            <c:ext xmlns:c16="http://schemas.microsoft.com/office/drawing/2014/chart" uri="{C3380CC4-5D6E-409C-BE32-E72D297353CC}">
              <c16:uniqueId val="{00000002-8273-45F9-BB5D-9C9C999B3116}"/>
            </c:ext>
          </c:extLst>
        </c:ser>
        <c:dLbls>
          <c:showLegendKey val="0"/>
          <c:showVal val="0"/>
          <c:showCatName val="0"/>
          <c:showSerName val="0"/>
          <c:showPercent val="0"/>
          <c:showBubbleSize val="0"/>
        </c:dLbls>
        <c:smooth val="0"/>
        <c:axId val="139441152"/>
        <c:axId val="139443072"/>
      </c:lineChart>
      <c:catAx>
        <c:axId val="13944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9443072"/>
        <c:crosses val="autoZero"/>
        <c:auto val="1"/>
        <c:lblAlgn val="ctr"/>
        <c:lblOffset val="100"/>
        <c:noMultiLvlLbl val="0"/>
      </c:catAx>
      <c:valAx>
        <c:axId val="13944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GWh/år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9441152"/>
        <c:crosses val="autoZero"/>
        <c:crossBetween val="between"/>
      </c:valAx>
      <c:spPr>
        <a:noFill/>
        <a:ln>
          <a:noFill/>
        </a:ln>
        <a:effectLst/>
      </c:spPr>
    </c:plotArea>
    <c:legend>
      <c:legendPos val="r"/>
      <c:layout>
        <c:manualLayout>
          <c:xMode val="edge"/>
          <c:yMode val="edge"/>
          <c:x val="0.15635651793525812"/>
          <c:y val="0.56336723534558175"/>
          <c:w val="0.20197681539807522"/>
          <c:h val="0.16493219597550307"/>
        </c:manualLayout>
      </c:layout>
      <c:overlay val="0"/>
      <c:spPr>
        <a:solidFill>
          <a:schemeClr val="bg1"/>
        </a:solid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45603674540681"/>
          <c:y val="5.0925925925925923E-2"/>
          <c:w val="0.78698840769903766"/>
          <c:h val="0.80345508894721496"/>
        </c:manualLayout>
      </c:layout>
      <c:lineChart>
        <c:grouping val="standard"/>
        <c:varyColors val="0"/>
        <c:ser>
          <c:idx val="0"/>
          <c:order val="0"/>
          <c:tx>
            <c:strRef>
              <c:f>Elektrisitet!$A$23</c:f>
              <c:strCache>
                <c:ptCount val="1"/>
                <c:pt idx="0">
                  <c:v>Elektrisitet pr husholdning</c:v>
                </c:pt>
              </c:strCache>
            </c:strRef>
          </c:tx>
          <c:spPr>
            <a:ln w="28575" cap="rnd">
              <a:solidFill>
                <a:schemeClr val="accent1"/>
              </a:solidFill>
              <a:round/>
            </a:ln>
            <a:effectLst/>
          </c:spPr>
          <c:marker>
            <c:symbol val="none"/>
          </c:marker>
          <c:cat>
            <c:strRef>
              <c:f>Elektrisitet!$B$21:$U$21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Elektrisitet!$B$23:$U$23</c:f>
              <c:numCache>
                <c:formatCode>#,##0</c:formatCode>
                <c:ptCount val="20"/>
                <c:pt idx="0">
                  <c:v>16642.850991068914</c:v>
                </c:pt>
                <c:pt idx="1">
                  <c:v>16469.449265233568</c:v>
                </c:pt>
                <c:pt idx="2">
                  <c:v>16468.360941534906</c:v>
                </c:pt>
                <c:pt idx="3">
                  <c:v>16214.580613050832</c:v>
                </c:pt>
                <c:pt idx="4">
                  <c:v>16110.807584558879</c:v>
                </c:pt>
                <c:pt idx="5">
                  <c:v>15835.064368059033</c:v>
                </c:pt>
                <c:pt idx="6">
                  <c:v>16120.697851153252</c:v>
                </c:pt>
                <c:pt idx="7">
                  <c:v>15971.129892041878</c:v>
                </c:pt>
                <c:pt idx="8">
                  <c:v>16149.389267028129</c:v>
                </c:pt>
                <c:pt idx="9">
                  <c:v>16394.216215909408</c:v>
                </c:pt>
                <c:pt idx="10">
                  <c:v>16500.097593507584</c:v>
                </c:pt>
                <c:pt idx="11">
                  <c:v>16329.568911430355</c:v>
                </c:pt>
                <c:pt idx="12">
                  <c:v>16147.815861188043</c:v>
                </c:pt>
                <c:pt idx="13">
                  <c:v>16040.731591745985</c:v>
                </c:pt>
                <c:pt idx="14">
                  <c:v>15704.620883155034</c:v>
                </c:pt>
                <c:pt idx="15">
                  <c:v>16532.081106241927</c:v>
                </c:pt>
                <c:pt idx="16">
                  <c:v>15632.084893639507</c:v>
                </c:pt>
                <c:pt idx="17">
                  <c:v>13985.005988698513</c:v>
                </c:pt>
                <c:pt idx="18">
                  <c:v>14114.716837579546</c:v>
                </c:pt>
                <c:pt idx="19">
                  <c:v>14726.760001353028</c:v>
                </c:pt>
              </c:numCache>
            </c:numRef>
          </c:val>
          <c:smooth val="0"/>
          <c:extLst>
            <c:ext xmlns:c16="http://schemas.microsoft.com/office/drawing/2014/chart" uri="{C3380CC4-5D6E-409C-BE32-E72D297353CC}">
              <c16:uniqueId val="{00000000-6E85-4CE7-A6D6-9F50D748F320}"/>
            </c:ext>
          </c:extLst>
        </c:ser>
        <c:ser>
          <c:idx val="4"/>
          <c:order val="1"/>
          <c:tx>
            <c:strRef>
              <c:f>Elektrisitet!$A$27</c:f>
              <c:strCache>
                <c:ptCount val="1"/>
                <c:pt idx="0">
                  <c:v>Elektrisitet pr person</c:v>
                </c:pt>
              </c:strCache>
            </c:strRef>
          </c:tx>
          <c:spPr>
            <a:ln w="28575" cap="rnd">
              <a:solidFill>
                <a:schemeClr val="accent2"/>
              </a:solidFill>
              <a:round/>
            </a:ln>
            <a:effectLst/>
          </c:spPr>
          <c:marker>
            <c:symbol val="none"/>
          </c:marker>
          <c:cat>
            <c:strRef>
              <c:f>Elektrisitet!$B$21:$U$21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Elektrisitet!$B$27:$U$27</c:f>
              <c:numCache>
                <c:formatCode>#,##0</c:formatCode>
                <c:ptCount val="20"/>
                <c:pt idx="0">
                  <c:v>7265.7662238491821</c:v>
                </c:pt>
                <c:pt idx="1">
                  <c:v>7229.4985460517282</c:v>
                </c:pt>
                <c:pt idx="2">
                  <c:v>7264.1686554753351</c:v>
                </c:pt>
                <c:pt idx="3">
                  <c:v>7203.4738775873784</c:v>
                </c:pt>
                <c:pt idx="4">
                  <c:v>7192.7101434482011</c:v>
                </c:pt>
                <c:pt idx="5">
                  <c:v>7075.9206016815651</c:v>
                </c:pt>
                <c:pt idx="6">
                  <c:v>7213.8501494515422</c:v>
                </c:pt>
                <c:pt idx="7">
                  <c:v>7130.645165569952</c:v>
                </c:pt>
                <c:pt idx="8">
                  <c:v>7221.5715002702354</c:v>
                </c:pt>
                <c:pt idx="9">
                  <c:v>7336.8688258232023</c:v>
                </c:pt>
                <c:pt idx="10">
                  <c:v>7399.6064095578122</c:v>
                </c:pt>
                <c:pt idx="11">
                  <c:v>7356.1474516058033</c:v>
                </c:pt>
                <c:pt idx="12">
                  <c:v>7299.462929942033</c:v>
                </c:pt>
                <c:pt idx="13">
                  <c:v>7297.7766853195362</c:v>
                </c:pt>
                <c:pt idx="14">
                  <c:v>7189.5357865394344</c:v>
                </c:pt>
                <c:pt idx="15">
                  <c:v>7623.4873308967199</c:v>
                </c:pt>
                <c:pt idx="16">
                  <c:v>7284.3748264557162</c:v>
                </c:pt>
                <c:pt idx="17">
                  <c:v>6562.7065043102957</c:v>
                </c:pt>
                <c:pt idx="18">
                  <c:v>6638.7988867580425</c:v>
                </c:pt>
                <c:pt idx="19">
                  <c:v>6958.1121358679757</c:v>
                </c:pt>
              </c:numCache>
            </c:numRef>
          </c:val>
          <c:smooth val="0"/>
          <c:extLst>
            <c:ext xmlns:c16="http://schemas.microsoft.com/office/drawing/2014/chart" uri="{C3380CC4-5D6E-409C-BE32-E72D297353CC}">
              <c16:uniqueId val="{00000004-6E85-4CE7-A6D6-9F50D748F320}"/>
            </c:ext>
          </c:extLst>
        </c:ser>
        <c:ser>
          <c:idx val="1"/>
          <c:order val="2"/>
          <c:tx>
            <c:strRef>
              <c:f>Elektrisitet!$A$24</c:f>
              <c:strCache>
                <c:ptCount val="1"/>
                <c:pt idx="0">
                  <c:v>Snitt 20 år (15 900 kWh)</c:v>
                </c:pt>
              </c:strCache>
            </c:strRef>
          </c:tx>
          <c:spPr>
            <a:ln w="28575" cap="rnd">
              <a:solidFill>
                <a:schemeClr val="accent1">
                  <a:lumMod val="60000"/>
                  <a:lumOff val="40000"/>
                </a:schemeClr>
              </a:solidFill>
              <a:round/>
            </a:ln>
            <a:effectLst/>
          </c:spPr>
          <c:marker>
            <c:symbol val="none"/>
          </c:marker>
          <c:cat>
            <c:strRef>
              <c:f>Elektrisitet!$B$21:$U$21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Elektrisitet!$B$24:$U$24</c:f>
              <c:numCache>
                <c:formatCode>#,##0</c:formatCode>
                <c:ptCount val="20"/>
                <c:pt idx="0">
                  <c:v>15904.501532908916</c:v>
                </c:pt>
                <c:pt idx="1">
                  <c:v>15904.501532908916</c:v>
                </c:pt>
                <c:pt idx="2">
                  <c:v>15904.501532908916</c:v>
                </c:pt>
                <c:pt idx="3">
                  <c:v>15904.501532908916</c:v>
                </c:pt>
                <c:pt idx="4">
                  <c:v>15904.501532908916</c:v>
                </c:pt>
                <c:pt idx="5">
                  <c:v>15904.501532908916</c:v>
                </c:pt>
                <c:pt idx="6">
                  <c:v>15904.501532908916</c:v>
                </c:pt>
                <c:pt idx="7">
                  <c:v>15904.501532908916</c:v>
                </c:pt>
                <c:pt idx="8">
                  <c:v>15904.501532908916</c:v>
                </c:pt>
                <c:pt idx="9">
                  <c:v>15904.501532908916</c:v>
                </c:pt>
                <c:pt idx="10">
                  <c:v>15904.501532908916</c:v>
                </c:pt>
                <c:pt idx="11">
                  <c:v>15904.501532908916</c:v>
                </c:pt>
                <c:pt idx="12">
                  <c:v>15904.501532908916</c:v>
                </c:pt>
                <c:pt idx="13">
                  <c:v>15904.501532908916</c:v>
                </c:pt>
                <c:pt idx="14">
                  <c:v>15904.501532908916</c:v>
                </c:pt>
                <c:pt idx="15">
                  <c:v>15904.501532908916</c:v>
                </c:pt>
                <c:pt idx="16">
                  <c:v>15904.501532908916</c:v>
                </c:pt>
                <c:pt idx="17">
                  <c:v>15904.501532908916</c:v>
                </c:pt>
                <c:pt idx="18">
                  <c:v>15904.501532908916</c:v>
                </c:pt>
                <c:pt idx="19">
                  <c:v>15904.501532908916</c:v>
                </c:pt>
              </c:numCache>
            </c:numRef>
          </c:val>
          <c:smooth val="0"/>
          <c:extLst>
            <c:ext xmlns:c16="http://schemas.microsoft.com/office/drawing/2014/chart" uri="{C3380CC4-5D6E-409C-BE32-E72D297353CC}">
              <c16:uniqueId val="{00000001-6E85-4CE7-A6D6-9F50D748F320}"/>
            </c:ext>
          </c:extLst>
        </c:ser>
        <c:ser>
          <c:idx val="5"/>
          <c:order val="3"/>
          <c:tx>
            <c:strRef>
              <c:f>Elektrisitet!$A$28</c:f>
              <c:strCache>
                <c:ptCount val="1"/>
                <c:pt idx="0">
                  <c:v>Snitt 20 år (7 000 kWh)</c:v>
                </c:pt>
              </c:strCache>
            </c:strRef>
          </c:tx>
          <c:spPr>
            <a:ln w="28575" cap="rnd">
              <a:solidFill>
                <a:schemeClr val="accent2">
                  <a:lumMod val="60000"/>
                  <a:lumOff val="40000"/>
                </a:schemeClr>
              </a:solidFill>
              <a:round/>
            </a:ln>
            <a:effectLst/>
          </c:spPr>
          <c:marker>
            <c:symbol val="none"/>
          </c:marker>
          <c:cat>
            <c:strRef>
              <c:f>Elektrisitet!$B$21:$U$21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Elektrisitet!$B$28:$U$28</c:f>
              <c:numCache>
                <c:formatCode>#,##0</c:formatCode>
                <c:ptCount val="20"/>
                <c:pt idx="0">
                  <c:v>7187.2241318230854</c:v>
                </c:pt>
                <c:pt idx="1">
                  <c:v>7187.2241318230854</c:v>
                </c:pt>
                <c:pt idx="2">
                  <c:v>7187.2241318230854</c:v>
                </c:pt>
                <c:pt idx="3">
                  <c:v>7187.2241318230854</c:v>
                </c:pt>
                <c:pt idx="4">
                  <c:v>7187.2241318230854</c:v>
                </c:pt>
                <c:pt idx="5">
                  <c:v>7187.2241318230854</c:v>
                </c:pt>
                <c:pt idx="6">
                  <c:v>7187.2241318230854</c:v>
                </c:pt>
                <c:pt idx="7">
                  <c:v>7187.2241318230854</c:v>
                </c:pt>
                <c:pt idx="8">
                  <c:v>7187.2241318230854</c:v>
                </c:pt>
                <c:pt idx="9">
                  <c:v>7187.2241318230854</c:v>
                </c:pt>
                <c:pt idx="10">
                  <c:v>7187.2241318230854</c:v>
                </c:pt>
                <c:pt idx="11">
                  <c:v>7187.2241318230854</c:v>
                </c:pt>
                <c:pt idx="12">
                  <c:v>7187.2241318230854</c:v>
                </c:pt>
                <c:pt idx="13">
                  <c:v>7187.2241318230854</c:v>
                </c:pt>
                <c:pt idx="14">
                  <c:v>7187.2241318230854</c:v>
                </c:pt>
                <c:pt idx="15">
                  <c:v>7187.2241318230854</c:v>
                </c:pt>
                <c:pt idx="16">
                  <c:v>7187.2241318230854</c:v>
                </c:pt>
                <c:pt idx="17">
                  <c:v>7187.2241318230854</c:v>
                </c:pt>
                <c:pt idx="18">
                  <c:v>7187.2241318230854</c:v>
                </c:pt>
                <c:pt idx="19">
                  <c:v>7187.2241318230854</c:v>
                </c:pt>
              </c:numCache>
            </c:numRef>
          </c:val>
          <c:smooth val="0"/>
          <c:extLst>
            <c:ext xmlns:c16="http://schemas.microsoft.com/office/drawing/2014/chart" uri="{C3380CC4-5D6E-409C-BE32-E72D297353CC}">
              <c16:uniqueId val="{00000005-6E85-4CE7-A6D6-9F50D748F320}"/>
            </c:ext>
          </c:extLst>
        </c:ser>
        <c:ser>
          <c:idx val="2"/>
          <c:order val="4"/>
          <c:tx>
            <c:strRef>
              <c:f>Elektrisitet!$A$25</c:f>
              <c:strCache>
                <c:ptCount val="1"/>
                <c:pt idx="0">
                  <c:v>Snitt 10 år (15 600)</c:v>
                </c:pt>
              </c:strCache>
            </c:strRef>
          </c:tx>
          <c:spPr>
            <a:ln w="28575" cap="rnd">
              <a:solidFill>
                <a:schemeClr val="accent1">
                  <a:lumMod val="40000"/>
                  <a:lumOff val="60000"/>
                </a:schemeClr>
              </a:solidFill>
              <a:round/>
            </a:ln>
            <a:effectLst/>
          </c:spPr>
          <c:marker>
            <c:symbol val="none"/>
          </c:marker>
          <c:cat>
            <c:strRef>
              <c:f>Elektrisitet!$B$21:$U$21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Elektrisitet!$B$25:$U$25</c:f>
              <c:numCache>
                <c:formatCode>General</c:formatCode>
                <c:ptCount val="20"/>
                <c:pt idx="9" formatCode="#,##0">
                  <c:v>15646.154534949903</c:v>
                </c:pt>
                <c:pt idx="10" formatCode="#,##0">
                  <c:v>15646.154534949903</c:v>
                </c:pt>
                <c:pt idx="11" formatCode="#,##0">
                  <c:v>15646.154534949903</c:v>
                </c:pt>
                <c:pt idx="12" formatCode="#,##0">
                  <c:v>15646.154534949903</c:v>
                </c:pt>
                <c:pt idx="13" formatCode="#,##0">
                  <c:v>15646.154534949903</c:v>
                </c:pt>
                <c:pt idx="14" formatCode="#,##0">
                  <c:v>15646.154534949903</c:v>
                </c:pt>
                <c:pt idx="15" formatCode="#,##0">
                  <c:v>15646.154534949903</c:v>
                </c:pt>
                <c:pt idx="16" formatCode="#,##0">
                  <c:v>15646.154534949903</c:v>
                </c:pt>
                <c:pt idx="17" formatCode="#,##0">
                  <c:v>15646.154534949903</c:v>
                </c:pt>
                <c:pt idx="18" formatCode="#,##0">
                  <c:v>15646.154534949903</c:v>
                </c:pt>
                <c:pt idx="19" formatCode="#,##0">
                  <c:v>15646.154534949903</c:v>
                </c:pt>
              </c:numCache>
            </c:numRef>
          </c:val>
          <c:smooth val="0"/>
          <c:extLst>
            <c:ext xmlns:c16="http://schemas.microsoft.com/office/drawing/2014/chart" uri="{C3380CC4-5D6E-409C-BE32-E72D297353CC}">
              <c16:uniqueId val="{00000002-6E85-4CE7-A6D6-9F50D748F320}"/>
            </c:ext>
          </c:extLst>
        </c:ser>
        <c:ser>
          <c:idx val="6"/>
          <c:order val="5"/>
          <c:tx>
            <c:strRef>
              <c:f>Elektrisitet!$A$29</c:f>
              <c:strCache>
                <c:ptCount val="1"/>
                <c:pt idx="0">
                  <c:v>Snitt 10 år (6 900 kWh)</c:v>
                </c:pt>
              </c:strCache>
            </c:strRef>
          </c:tx>
          <c:spPr>
            <a:ln w="28575" cap="rnd">
              <a:solidFill>
                <a:schemeClr val="accent2">
                  <a:lumMod val="40000"/>
                  <a:lumOff val="60000"/>
                </a:schemeClr>
              </a:solidFill>
              <a:round/>
            </a:ln>
            <a:effectLst/>
          </c:spPr>
          <c:marker>
            <c:symbol val="none"/>
          </c:marker>
          <c:cat>
            <c:strRef>
              <c:f>Elektrisitet!$B$21:$U$21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Elektrisitet!$B$29:$U$29</c:f>
              <c:numCache>
                <c:formatCode>General</c:formatCode>
                <c:ptCount val="20"/>
                <c:pt idx="9" formatCode="#,##0">
                  <c:v>7176.9888884615066</c:v>
                </c:pt>
                <c:pt idx="10" formatCode="#,##0">
                  <c:v>7176.9888884615066</c:v>
                </c:pt>
                <c:pt idx="11" formatCode="#,##0">
                  <c:v>7176.9888884615066</c:v>
                </c:pt>
                <c:pt idx="12" formatCode="#,##0">
                  <c:v>7176.9888884615066</c:v>
                </c:pt>
                <c:pt idx="13" formatCode="#,##0">
                  <c:v>7176.9888884615066</c:v>
                </c:pt>
                <c:pt idx="14" formatCode="#,##0">
                  <c:v>7176.9888884615066</c:v>
                </c:pt>
                <c:pt idx="15" formatCode="#,##0">
                  <c:v>7176.9888884615066</c:v>
                </c:pt>
                <c:pt idx="16" formatCode="#,##0">
                  <c:v>7176.9888884615066</c:v>
                </c:pt>
                <c:pt idx="17" formatCode="#,##0">
                  <c:v>7176.9888884615066</c:v>
                </c:pt>
                <c:pt idx="18" formatCode="#,##0">
                  <c:v>7176.9888884615066</c:v>
                </c:pt>
                <c:pt idx="19" formatCode="#,##0">
                  <c:v>7176.9888884615066</c:v>
                </c:pt>
              </c:numCache>
            </c:numRef>
          </c:val>
          <c:smooth val="0"/>
          <c:extLst>
            <c:ext xmlns:c16="http://schemas.microsoft.com/office/drawing/2014/chart" uri="{C3380CC4-5D6E-409C-BE32-E72D297353CC}">
              <c16:uniqueId val="{00000006-6E85-4CE7-A6D6-9F50D748F320}"/>
            </c:ext>
          </c:extLst>
        </c:ser>
        <c:ser>
          <c:idx val="3"/>
          <c:order val="6"/>
          <c:tx>
            <c:strRef>
              <c:f>Elektrisitet!$A$26</c:f>
              <c:strCache>
                <c:ptCount val="1"/>
                <c:pt idx="0">
                  <c:v>Snitt 5 år (15 100)</c:v>
                </c:pt>
              </c:strCache>
            </c:strRef>
          </c:tx>
          <c:spPr>
            <a:ln w="28575" cap="rnd">
              <a:solidFill>
                <a:schemeClr val="accent1">
                  <a:lumMod val="20000"/>
                  <a:lumOff val="80000"/>
                </a:schemeClr>
              </a:solidFill>
              <a:round/>
            </a:ln>
            <a:effectLst/>
          </c:spPr>
          <c:marker>
            <c:symbol val="none"/>
          </c:marker>
          <c:cat>
            <c:strRef>
              <c:f>Elektrisitet!$B$21:$U$21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Elektrisitet!$B$26:$U$26</c:f>
              <c:numCache>
                <c:formatCode>General</c:formatCode>
                <c:ptCount val="20"/>
                <c:pt idx="14" formatCode="#,##0">
                  <c:v>15115.878285111261</c:v>
                </c:pt>
                <c:pt idx="15" formatCode="#,##0">
                  <c:v>15115.878285111261</c:v>
                </c:pt>
                <c:pt idx="16" formatCode="#,##0">
                  <c:v>15115.878285111261</c:v>
                </c:pt>
                <c:pt idx="17" formatCode="#,##0">
                  <c:v>15115.878285111261</c:v>
                </c:pt>
                <c:pt idx="18" formatCode="#,##0">
                  <c:v>15115.878285111261</c:v>
                </c:pt>
                <c:pt idx="19" formatCode="#,##0">
                  <c:v>15115.878285111261</c:v>
                </c:pt>
              </c:numCache>
            </c:numRef>
          </c:val>
          <c:smooth val="0"/>
          <c:extLst>
            <c:ext xmlns:c16="http://schemas.microsoft.com/office/drawing/2014/chart" uri="{C3380CC4-5D6E-409C-BE32-E72D297353CC}">
              <c16:uniqueId val="{00000003-6E85-4CE7-A6D6-9F50D748F320}"/>
            </c:ext>
          </c:extLst>
        </c:ser>
        <c:ser>
          <c:idx val="7"/>
          <c:order val="7"/>
          <c:tx>
            <c:strRef>
              <c:f>Elektrisitet!$A$30</c:f>
              <c:strCache>
                <c:ptCount val="1"/>
                <c:pt idx="0">
                  <c:v>Snitt 5 år (6 800 kWh)</c:v>
                </c:pt>
              </c:strCache>
            </c:strRef>
          </c:tx>
          <c:spPr>
            <a:ln w="28575" cap="rnd">
              <a:solidFill>
                <a:schemeClr val="accent2">
                  <a:lumMod val="20000"/>
                  <a:lumOff val="80000"/>
                </a:schemeClr>
              </a:solidFill>
              <a:round/>
            </a:ln>
            <a:effectLst/>
          </c:spPr>
          <c:marker>
            <c:symbol val="none"/>
          </c:marker>
          <c:cat>
            <c:strRef>
              <c:f>Elektrisitet!$B$21:$U$21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Elektrisitet!$B$30:$U$30</c:f>
              <c:numCache>
                <c:formatCode>General</c:formatCode>
                <c:ptCount val="20"/>
                <c:pt idx="14" formatCode="#,##0">
                  <c:v>7042.8359118046974</c:v>
                </c:pt>
                <c:pt idx="15" formatCode="#,##0">
                  <c:v>7042.8359118046974</c:v>
                </c:pt>
                <c:pt idx="16" formatCode="#,##0">
                  <c:v>7042.8359118046974</c:v>
                </c:pt>
                <c:pt idx="17" formatCode="#,##0">
                  <c:v>7042.8359118046974</c:v>
                </c:pt>
                <c:pt idx="18" formatCode="#,##0">
                  <c:v>7042.8359118046974</c:v>
                </c:pt>
                <c:pt idx="19" formatCode="#,##0">
                  <c:v>7042.8359118046974</c:v>
                </c:pt>
              </c:numCache>
            </c:numRef>
          </c:val>
          <c:smooth val="0"/>
          <c:extLst>
            <c:ext xmlns:c16="http://schemas.microsoft.com/office/drawing/2014/chart" uri="{C3380CC4-5D6E-409C-BE32-E72D297353CC}">
              <c16:uniqueId val="{00000007-6E85-4CE7-A6D6-9F50D748F320}"/>
            </c:ext>
          </c:extLst>
        </c:ser>
        <c:dLbls>
          <c:showLegendKey val="0"/>
          <c:showVal val="0"/>
          <c:showCatName val="0"/>
          <c:showSerName val="0"/>
          <c:showPercent val="0"/>
          <c:showBubbleSize val="0"/>
        </c:dLbls>
        <c:smooth val="0"/>
        <c:axId val="17446544"/>
        <c:axId val="17435504"/>
      </c:lineChart>
      <c:catAx>
        <c:axId val="1744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7435504"/>
        <c:crosses val="autoZero"/>
        <c:auto val="1"/>
        <c:lblAlgn val="ctr"/>
        <c:lblOffset val="100"/>
        <c:noMultiLvlLbl val="0"/>
      </c:catAx>
      <c:valAx>
        <c:axId val="17435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Elektrisitetsbruk temperaturkorrigert</a:t>
                </a:r>
                <a:r>
                  <a:rPr lang="nb-NO" baseline="0"/>
                  <a:t> [kWh/år]</a:t>
                </a:r>
                <a:endParaRPr lang="nb-NO"/>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7446544"/>
        <c:crosses val="autoZero"/>
        <c:crossBetween val="between"/>
      </c:valAx>
      <c:spPr>
        <a:noFill/>
        <a:ln>
          <a:noFill/>
        </a:ln>
        <a:effectLst/>
      </c:spPr>
    </c:plotArea>
    <c:legend>
      <c:legendPos val="b"/>
      <c:layout>
        <c:manualLayout>
          <c:xMode val="edge"/>
          <c:yMode val="edge"/>
          <c:x val="0.24084580052493437"/>
          <c:y val="0.65740522018081071"/>
          <c:w val="0.68775284339457576"/>
          <c:h val="0.20370589093030039"/>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Elektrisitet!$A$57:$D$57</c:f>
              <c:strCache>
                <c:ptCount val="4"/>
              </c:strCache>
            </c:strRef>
          </c:tx>
          <c:spPr>
            <a:ln w="28575" cap="rnd">
              <a:solidFill>
                <a:schemeClr val="accent1"/>
              </a:solidFill>
              <a:round/>
            </a:ln>
            <a:effectLst/>
          </c:spPr>
          <c:marker>
            <c:symbol val="none"/>
          </c:marker>
          <c:cat>
            <c:numRef>
              <c:f>Elektrisitet!$E$56:$U$56</c:f>
              <c:numCache>
                <c:formatCode>General</c:formatCode>
                <c:ptCount val="17"/>
              </c:numCache>
            </c:numRef>
          </c:cat>
          <c:val>
            <c:numRef>
              <c:f>Elektrisitet!$E$57:$U$57</c:f>
              <c:numCache>
                <c:formatCode>0</c:formatCode>
                <c:ptCount val="17"/>
              </c:numCache>
            </c:numRef>
          </c:val>
          <c:smooth val="0"/>
          <c:extLst>
            <c:ext xmlns:c16="http://schemas.microsoft.com/office/drawing/2014/chart" uri="{C3380CC4-5D6E-409C-BE32-E72D297353CC}">
              <c16:uniqueId val="{00000000-A5B6-4B23-9A2C-E05F420C49F9}"/>
            </c:ext>
          </c:extLst>
        </c:ser>
        <c:ser>
          <c:idx val="1"/>
          <c:order val="1"/>
          <c:tx>
            <c:strRef>
              <c:f>Elektrisitet!$A$58:$D$58</c:f>
              <c:strCache>
                <c:ptCount val="4"/>
              </c:strCache>
            </c:strRef>
          </c:tx>
          <c:spPr>
            <a:ln w="28575" cap="rnd">
              <a:solidFill>
                <a:schemeClr val="accent2"/>
              </a:solidFill>
              <a:round/>
            </a:ln>
            <a:effectLst/>
          </c:spPr>
          <c:marker>
            <c:symbol val="none"/>
          </c:marker>
          <c:cat>
            <c:numRef>
              <c:f>Elektrisitet!$E$56:$U$56</c:f>
              <c:numCache>
                <c:formatCode>General</c:formatCode>
                <c:ptCount val="17"/>
              </c:numCache>
            </c:numRef>
          </c:cat>
          <c:val>
            <c:numRef>
              <c:f>Elektrisitet!$E$58:$U$58</c:f>
              <c:numCache>
                <c:formatCode>0</c:formatCode>
                <c:ptCount val="17"/>
              </c:numCache>
            </c:numRef>
          </c:val>
          <c:smooth val="0"/>
          <c:extLst>
            <c:ext xmlns:c16="http://schemas.microsoft.com/office/drawing/2014/chart" uri="{C3380CC4-5D6E-409C-BE32-E72D297353CC}">
              <c16:uniqueId val="{00000001-A5B6-4B23-9A2C-E05F420C49F9}"/>
            </c:ext>
          </c:extLst>
        </c:ser>
        <c:ser>
          <c:idx val="2"/>
          <c:order val="2"/>
          <c:tx>
            <c:strRef>
              <c:f>Elektrisitet!$A$59:$D$59</c:f>
              <c:strCache>
                <c:ptCount val="4"/>
              </c:strCache>
            </c:strRef>
          </c:tx>
          <c:spPr>
            <a:ln w="28575" cap="rnd">
              <a:solidFill>
                <a:schemeClr val="accent3"/>
              </a:solidFill>
              <a:round/>
            </a:ln>
            <a:effectLst/>
          </c:spPr>
          <c:marker>
            <c:symbol val="none"/>
          </c:marker>
          <c:cat>
            <c:numRef>
              <c:f>Elektrisitet!$E$56:$U$56</c:f>
              <c:numCache>
                <c:formatCode>General</c:formatCode>
                <c:ptCount val="17"/>
              </c:numCache>
            </c:numRef>
          </c:cat>
          <c:val>
            <c:numRef>
              <c:f>Elektrisitet!$E$59:$U$59</c:f>
              <c:numCache>
                <c:formatCode>0</c:formatCode>
                <c:ptCount val="17"/>
              </c:numCache>
            </c:numRef>
          </c:val>
          <c:smooth val="0"/>
          <c:extLst>
            <c:ext xmlns:c16="http://schemas.microsoft.com/office/drawing/2014/chart" uri="{C3380CC4-5D6E-409C-BE32-E72D297353CC}">
              <c16:uniqueId val="{00000002-A5B6-4B23-9A2C-E05F420C49F9}"/>
            </c:ext>
          </c:extLst>
        </c:ser>
        <c:ser>
          <c:idx val="3"/>
          <c:order val="3"/>
          <c:tx>
            <c:strRef>
              <c:f>Elektrisitet!$A$60:$D$60</c:f>
              <c:strCache>
                <c:ptCount val="4"/>
              </c:strCache>
            </c:strRef>
          </c:tx>
          <c:spPr>
            <a:ln w="28575" cap="rnd">
              <a:solidFill>
                <a:schemeClr val="accent4"/>
              </a:solidFill>
              <a:round/>
            </a:ln>
            <a:effectLst/>
          </c:spPr>
          <c:marker>
            <c:symbol val="none"/>
          </c:marker>
          <c:cat>
            <c:numRef>
              <c:f>Elektrisitet!$E$56:$U$56</c:f>
              <c:numCache>
                <c:formatCode>General</c:formatCode>
                <c:ptCount val="17"/>
              </c:numCache>
            </c:numRef>
          </c:cat>
          <c:val>
            <c:numRef>
              <c:f>Elektrisitet!$E$60:$U$60</c:f>
              <c:numCache>
                <c:formatCode>0</c:formatCode>
                <c:ptCount val="17"/>
              </c:numCache>
            </c:numRef>
          </c:val>
          <c:smooth val="0"/>
          <c:extLst>
            <c:ext xmlns:c16="http://schemas.microsoft.com/office/drawing/2014/chart" uri="{C3380CC4-5D6E-409C-BE32-E72D297353CC}">
              <c16:uniqueId val="{00000003-A5B6-4B23-9A2C-E05F420C49F9}"/>
            </c:ext>
          </c:extLst>
        </c:ser>
        <c:ser>
          <c:idx val="4"/>
          <c:order val="4"/>
          <c:tx>
            <c:strRef>
              <c:f>Elektrisitet!$A$61:$D$61</c:f>
              <c:strCache>
                <c:ptCount val="4"/>
              </c:strCache>
            </c:strRef>
          </c:tx>
          <c:spPr>
            <a:ln w="28575" cap="rnd">
              <a:solidFill>
                <a:schemeClr val="accent5"/>
              </a:solidFill>
              <a:round/>
            </a:ln>
            <a:effectLst/>
          </c:spPr>
          <c:marker>
            <c:symbol val="none"/>
          </c:marker>
          <c:cat>
            <c:numRef>
              <c:f>Elektrisitet!$E$56:$U$56</c:f>
              <c:numCache>
                <c:formatCode>General</c:formatCode>
                <c:ptCount val="17"/>
              </c:numCache>
            </c:numRef>
          </c:cat>
          <c:val>
            <c:numRef>
              <c:f>Elektrisitet!$E$61:$U$61</c:f>
              <c:numCache>
                <c:formatCode>0</c:formatCode>
                <c:ptCount val="17"/>
              </c:numCache>
            </c:numRef>
          </c:val>
          <c:smooth val="0"/>
          <c:extLst>
            <c:ext xmlns:c16="http://schemas.microsoft.com/office/drawing/2014/chart" uri="{C3380CC4-5D6E-409C-BE32-E72D297353CC}">
              <c16:uniqueId val="{00000004-A5B6-4B23-9A2C-E05F420C49F9}"/>
            </c:ext>
          </c:extLst>
        </c:ser>
        <c:ser>
          <c:idx val="5"/>
          <c:order val="5"/>
          <c:tx>
            <c:strRef>
              <c:f>Elektrisitet!$A$62:$D$62</c:f>
              <c:strCache>
                <c:ptCount val="4"/>
              </c:strCache>
            </c:strRef>
          </c:tx>
          <c:spPr>
            <a:ln w="28575" cap="rnd">
              <a:solidFill>
                <a:schemeClr val="accent6"/>
              </a:solidFill>
              <a:round/>
            </a:ln>
            <a:effectLst/>
          </c:spPr>
          <c:marker>
            <c:symbol val="none"/>
          </c:marker>
          <c:cat>
            <c:numRef>
              <c:f>Elektrisitet!$E$56:$U$56</c:f>
              <c:numCache>
                <c:formatCode>General</c:formatCode>
                <c:ptCount val="17"/>
              </c:numCache>
            </c:numRef>
          </c:cat>
          <c:val>
            <c:numRef>
              <c:f>Elektrisitet!$E$62:$U$62</c:f>
              <c:numCache>
                <c:formatCode>0</c:formatCode>
                <c:ptCount val="17"/>
              </c:numCache>
            </c:numRef>
          </c:val>
          <c:smooth val="0"/>
          <c:extLst>
            <c:ext xmlns:c16="http://schemas.microsoft.com/office/drawing/2014/chart" uri="{C3380CC4-5D6E-409C-BE32-E72D297353CC}">
              <c16:uniqueId val="{00000005-A5B6-4B23-9A2C-E05F420C49F9}"/>
            </c:ext>
          </c:extLst>
        </c:ser>
        <c:ser>
          <c:idx val="6"/>
          <c:order val="6"/>
          <c:tx>
            <c:strRef>
              <c:f>Elektrisitet!$A$63:$D$63</c:f>
              <c:strCache>
                <c:ptCount val="4"/>
              </c:strCache>
            </c:strRef>
          </c:tx>
          <c:spPr>
            <a:ln w="28575" cap="rnd">
              <a:solidFill>
                <a:schemeClr val="accent1">
                  <a:lumMod val="60000"/>
                </a:schemeClr>
              </a:solidFill>
              <a:round/>
            </a:ln>
            <a:effectLst/>
          </c:spPr>
          <c:marker>
            <c:symbol val="none"/>
          </c:marker>
          <c:cat>
            <c:numRef>
              <c:f>Elektrisitet!$E$56:$U$56</c:f>
              <c:numCache>
                <c:formatCode>General</c:formatCode>
                <c:ptCount val="17"/>
              </c:numCache>
            </c:numRef>
          </c:cat>
          <c:val>
            <c:numRef>
              <c:f>Elektrisitet!$E$63:$U$63</c:f>
              <c:numCache>
                <c:formatCode>0</c:formatCode>
                <c:ptCount val="17"/>
              </c:numCache>
            </c:numRef>
          </c:val>
          <c:smooth val="0"/>
          <c:extLst>
            <c:ext xmlns:c16="http://schemas.microsoft.com/office/drawing/2014/chart" uri="{C3380CC4-5D6E-409C-BE32-E72D297353CC}">
              <c16:uniqueId val="{00000006-A5B6-4B23-9A2C-E05F420C49F9}"/>
            </c:ext>
          </c:extLst>
        </c:ser>
        <c:ser>
          <c:idx val="7"/>
          <c:order val="7"/>
          <c:tx>
            <c:strRef>
              <c:f>Elektrisitet!$A$64:$D$64</c:f>
              <c:strCache>
                <c:ptCount val="4"/>
              </c:strCache>
            </c:strRef>
          </c:tx>
          <c:spPr>
            <a:ln w="28575" cap="rnd">
              <a:solidFill>
                <a:schemeClr val="accent2">
                  <a:lumMod val="60000"/>
                </a:schemeClr>
              </a:solidFill>
              <a:round/>
            </a:ln>
            <a:effectLst/>
          </c:spPr>
          <c:marker>
            <c:symbol val="none"/>
          </c:marker>
          <c:cat>
            <c:numRef>
              <c:f>Elektrisitet!$E$56:$U$56</c:f>
              <c:numCache>
                <c:formatCode>General</c:formatCode>
                <c:ptCount val="17"/>
              </c:numCache>
            </c:numRef>
          </c:cat>
          <c:val>
            <c:numRef>
              <c:f>Elektrisitet!$E$64:$U$64</c:f>
              <c:numCache>
                <c:formatCode>0</c:formatCode>
                <c:ptCount val="17"/>
              </c:numCache>
            </c:numRef>
          </c:val>
          <c:smooth val="0"/>
          <c:extLst>
            <c:ext xmlns:c16="http://schemas.microsoft.com/office/drawing/2014/chart" uri="{C3380CC4-5D6E-409C-BE32-E72D297353CC}">
              <c16:uniqueId val="{00000007-A5B6-4B23-9A2C-E05F420C49F9}"/>
            </c:ext>
          </c:extLst>
        </c:ser>
        <c:ser>
          <c:idx val="8"/>
          <c:order val="8"/>
          <c:tx>
            <c:strRef>
              <c:f>Elektrisitet!$A$65:$D$65</c:f>
              <c:strCache>
                <c:ptCount val="4"/>
              </c:strCache>
            </c:strRef>
          </c:tx>
          <c:spPr>
            <a:ln w="28575" cap="rnd">
              <a:solidFill>
                <a:schemeClr val="accent3">
                  <a:lumMod val="60000"/>
                </a:schemeClr>
              </a:solidFill>
              <a:round/>
            </a:ln>
            <a:effectLst/>
          </c:spPr>
          <c:marker>
            <c:symbol val="none"/>
          </c:marker>
          <c:cat>
            <c:numRef>
              <c:f>Elektrisitet!$E$56:$U$56</c:f>
              <c:numCache>
                <c:formatCode>General</c:formatCode>
                <c:ptCount val="17"/>
              </c:numCache>
            </c:numRef>
          </c:cat>
          <c:val>
            <c:numRef>
              <c:f>Elektrisitet!$E$65:$U$65</c:f>
              <c:numCache>
                <c:formatCode>0</c:formatCode>
                <c:ptCount val="17"/>
              </c:numCache>
            </c:numRef>
          </c:val>
          <c:smooth val="0"/>
          <c:extLst>
            <c:ext xmlns:c16="http://schemas.microsoft.com/office/drawing/2014/chart" uri="{C3380CC4-5D6E-409C-BE32-E72D297353CC}">
              <c16:uniqueId val="{00000008-A5B6-4B23-9A2C-E05F420C49F9}"/>
            </c:ext>
          </c:extLst>
        </c:ser>
        <c:ser>
          <c:idx val="9"/>
          <c:order val="9"/>
          <c:tx>
            <c:strRef>
              <c:f>Elektrisitet!$A$66:$D$66</c:f>
              <c:strCache>
                <c:ptCount val="4"/>
              </c:strCache>
            </c:strRef>
          </c:tx>
          <c:spPr>
            <a:ln w="28575" cap="rnd">
              <a:solidFill>
                <a:schemeClr val="accent4">
                  <a:lumMod val="60000"/>
                </a:schemeClr>
              </a:solidFill>
              <a:round/>
            </a:ln>
            <a:effectLst/>
          </c:spPr>
          <c:marker>
            <c:symbol val="none"/>
          </c:marker>
          <c:cat>
            <c:numRef>
              <c:f>Elektrisitet!$E$56:$U$56</c:f>
              <c:numCache>
                <c:formatCode>General</c:formatCode>
                <c:ptCount val="17"/>
              </c:numCache>
            </c:numRef>
          </c:cat>
          <c:val>
            <c:numRef>
              <c:f>Elektrisitet!$E$66:$U$66</c:f>
              <c:numCache>
                <c:formatCode>0</c:formatCode>
                <c:ptCount val="17"/>
              </c:numCache>
            </c:numRef>
          </c:val>
          <c:smooth val="0"/>
          <c:extLst>
            <c:ext xmlns:c16="http://schemas.microsoft.com/office/drawing/2014/chart" uri="{C3380CC4-5D6E-409C-BE32-E72D297353CC}">
              <c16:uniqueId val="{00000009-A5B6-4B23-9A2C-E05F420C49F9}"/>
            </c:ext>
          </c:extLst>
        </c:ser>
        <c:ser>
          <c:idx val="10"/>
          <c:order val="10"/>
          <c:tx>
            <c:strRef>
              <c:f>Elektrisitet!$A$67:$D$67</c:f>
              <c:strCache>
                <c:ptCount val="4"/>
              </c:strCache>
            </c:strRef>
          </c:tx>
          <c:spPr>
            <a:ln w="28575" cap="rnd">
              <a:solidFill>
                <a:schemeClr val="accent5">
                  <a:lumMod val="60000"/>
                </a:schemeClr>
              </a:solidFill>
              <a:round/>
            </a:ln>
            <a:effectLst/>
          </c:spPr>
          <c:marker>
            <c:symbol val="none"/>
          </c:marker>
          <c:cat>
            <c:numRef>
              <c:f>Elektrisitet!$E$56:$U$56</c:f>
              <c:numCache>
                <c:formatCode>General</c:formatCode>
                <c:ptCount val="17"/>
              </c:numCache>
            </c:numRef>
          </c:cat>
          <c:val>
            <c:numRef>
              <c:f>Elektrisitet!$E$67:$U$67</c:f>
              <c:numCache>
                <c:formatCode>0</c:formatCode>
                <c:ptCount val="17"/>
              </c:numCache>
            </c:numRef>
          </c:val>
          <c:smooth val="0"/>
          <c:extLst>
            <c:ext xmlns:c16="http://schemas.microsoft.com/office/drawing/2014/chart" uri="{C3380CC4-5D6E-409C-BE32-E72D297353CC}">
              <c16:uniqueId val="{0000000A-A5B6-4B23-9A2C-E05F420C49F9}"/>
            </c:ext>
          </c:extLst>
        </c:ser>
        <c:ser>
          <c:idx val="11"/>
          <c:order val="11"/>
          <c:tx>
            <c:strRef>
              <c:f>Elektrisitet!$A$68:$D$68</c:f>
              <c:strCache>
                <c:ptCount val="4"/>
              </c:strCache>
            </c:strRef>
          </c:tx>
          <c:spPr>
            <a:ln w="28575" cap="rnd">
              <a:solidFill>
                <a:schemeClr val="accent6">
                  <a:lumMod val="60000"/>
                </a:schemeClr>
              </a:solidFill>
              <a:round/>
            </a:ln>
            <a:effectLst/>
          </c:spPr>
          <c:marker>
            <c:symbol val="none"/>
          </c:marker>
          <c:cat>
            <c:numRef>
              <c:f>Elektrisitet!$E$56:$U$56</c:f>
              <c:numCache>
                <c:formatCode>General</c:formatCode>
                <c:ptCount val="17"/>
              </c:numCache>
            </c:numRef>
          </c:cat>
          <c:val>
            <c:numRef>
              <c:f>Elektrisitet!$E$68:$U$68</c:f>
              <c:numCache>
                <c:formatCode>0</c:formatCode>
                <c:ptCount val="17"/>
              </c:numCache>
            </c:numRef>
          </c:val>
          <c:smooth val="0"/>
          <c:extLst>
            <c:ext xmlns:c16="http://schemas.microsoft.com/office/drawing/2014/chart" uri="{C3380CC4-5D6E-409C-BE32-E72D297353CC}">
              <c16:uniqueId val="{0000000B-A5B6-4B23-9A2C-E05F420C49F9}"/>
            </c:ext>
          </c:extLst>
        </c:ser>
        <c:ser>
          <c:idx val="12"/>
          <c:order val="12"/>
          <c:tx>
            <c:strRef>
              <c:f>Elektrisitet!$A$69:$D$69</c:f>
              <c:strCache>
                <c:ptCount val="4"/>
              </c:strCache>
            </c:strRef>
          </c:tx>
          <c:spPr>
            <a:ln w="28575" cap="rnd">
              <a:solidFill>
                <a:schemeClr val="accent1">
                  <a:lumMod val="80000"/>
                  <a:lumOff val="20000"/>
                </a:schemeClr>
              </a:solidFill>
              <a:round/>
            </a:ln>
            <a:effectLst/>
          </c:spPr>
          <c:marker>
            <c:symbol val="none"/>
          </c:marker>
          <c:cat>
            <c:numRef>
              <c:f>Elektrisitet!$E$56:$U$56</c:f>
              <c:numCache>
                <c:formatCode>General</c:formatCode>
                <c:ptCount val="17"/>
              </c:numCache>
            </c:numRef>
          </c:cat>
          <c:val>
            <c:numRef>
              <c:f>Elektrisitet!$E$69:$U$69</c:f>
              <c:numCache>
                <c:formatCode>0</c:formatCode>
                <c:ptCount val="17"/>
              </c:numCache>
            </c:numRef>
          </c:val>
          <c:smooth val="0"/>
          <c:extLst>
            <c:ext xmlns:c16="http://schemas.microsoft.com/office/drawing/2014/chart" uri="{C3380CC4-5D6E-409C-BE32-E72D297353CC}">
              <c16:uniqueId val="{0000000C-A5B6-4B23-9A2C-E05F420C49F9}"/>
            </c:ext>
          </c:extLst>
        </c:ser>
        <c:ser>
          <c:idx val="13"/>
          <c:order val="13"/>
          <c:tx>
            <c:strRef>
              <c:f>Elektrisitet!$A$70:$D$70</c:f>
              <c:strCache>
                <c:ptCount val="4"/>
              </c:strCache>
            </c:strRef>
          </c:tx>
          <c:spPr>
            <a:ln w="28575" cap="rnd">
              <a:solidFill>
                <a:schemeClr val="accent2">
                  <a:lumMod val="80000"/>
                  <a:lumOff val="20000"/>
                </a:schemeClr>
              </a:solidFill>
              <a:round/>
            </a:ln>
            <a:effectLst/>
          </c:spPr>
          <c:marker>
            <c:symbol val="none"/>
          </c:marker>
          <c:cat>
            <c:numRef>
              <c:f>Elektrisitet!$E$56:$U$56</c:f>
              <c:numCache>
                <c:formatCode>General</c:formatCode>
                <c:ptCount val="17"/>
              </c:numCache>
            </c:numRef>
          </c:cat>
          <c:val>
            <c:numRef>
              <c:f>Elektrisitet!$E$70:$U$70</c:f>
              <c:numCache>
                <c:formatCode>0</c:formatCode>
                <c:ptCount val="17"/>
              </c:numCache>
            </c:numRef>
          </c:val>
          <c:smooth val="0"/>
          <c:extLst>
            <c:ext xmlns:c16="http://schemas.microsoft.com/office/drawing/2014/chart" uri="{C3380CC4-5D6E-409C-BE32-E72D297353CC}">
              <c16:uniqueId val="{0000000D-A5B6-4B23-9A2C-E05F420C49F9}"/>
            </c:ext>
          </c:extLst>
        </c:ser>
        <c:ser>
          <c:idx val="14"/>
          <c:order val="14"/>
          <c:tx>
            <c:strRef>
              <c:f>Elektrisitet!$A$71:$D$71</c:f>
              <c:strCache>
                <c:ptCount val="4"/>
              </c:strCache>
            </c:strRef>
          </c:tx>
          <c:spPr>
            <a:ln w="28575" cap="rnd">
              <a:solidFill>
                <a:schemeClr val="accent3">
                  <a:lumMod val="80000"/>
                  <a:lumOff val="20000"/>
                </a:schemeClr>
              </a:solidFill>
              <a:round/>
            </a:ln>
            <a:effectLst/>
          </c:spPr>
          <c:marker>
            <c:symbol val="none"/>
          </c:marker>
          <c:cat>
            <c:numRef>
              <c:f>Elektrisitet!$E$56:$U$56</c:f>
              <c:numCache>
                <c:formatCode>General</c:formatCode>
                <c:ptCount val="17"/>
              </c:numCache>
            </c:numRef>
          </c:cat>
          <c:val>
            <c:numRef>
              <c:f>Elektrisitet!$E$71:$U$71</c:f>
              <c:numCache>
                <c:formatCode>0</c:formatCode>
                <c:ptCount val="17"/>
              </c:numCache>
            </c:numRef>
          </c:val>
          <c:smooth val="0"/>
          <c:extLst>
            <c:ext xmlns:c16="http://schemas.microsoft.com/office/drawing/2014/chart" uri="{C3380CC4-5D6E-409C-BE32-E72D297353CC}">
              <c16:uniqueId val="{0000000E-A5B6-4B23-9A2C-E05F420C49F9}"/>
            </c:ext>
          </c:extLst>
        </c:ser>
        <c:dLbls>
          <c:showLegendKey val="0"/>
          <c:showVal val="0"/>
          <c:showCatName val="0"/>
          <c:showSerName val="0"/>
          <c:showPercent val="0"/>
          <c:showBubbleSize val="0"/>
        </c:dLbls>
        <c:smooth val="0"/>
        <c:axId val="198354031"/>
        <c:axId val="198349711"/>
      </c:lineChart>
      <c:catAx>
        <c:axId val="19835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8349711"/>
        <c:crosses val="autoZero"/>
        <c:auto val="1"/>
        <c:lblAlgn val="ctr"/>
        <c:lblOffset val="100"/>
        <c:noMultiLvlLbl val="0"/>
      </c:catAx>
      <c:valAx>
        <c:axId val="198349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8354031"/>
        <c:crosses val="autoZero"/>
        <c:crossBetween val="between"/>
      </c:valAx>
      <c:spPr>
        <a:noFill/>
        <a:ln>
          <a:noFill/>
        </a:ln>
        <a:effectLst/>
      </c:spPr>
    </c:plotArea>
    <c:legend>
      <c:legendPos val="r"/>
      <c:layout>
        <c:manualLayout>
          <c:xMode val="edge"/>
          <c:yMode val="edge"/>
          <c:x val="0.64176202974628171"/>
          <c:y val="5.294728783902012E-2"/>
          <c:w val="0.35823797025371834"/>
          <c:h val="0.9404017206182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45603674540681"/>
          <c:y val="5.0925925925925923E-2"/>
          <c:w val="0.78698840769903766"/>
          <c:h val="0.80345508894721496"/>
        </c:manualLayout>
      </c:layout>
      <c:lineChart>
        <c:grouping val="standard"/>
        <c:varyColors val="0"/>
        <c:ser>
          <c:idx val="0"/>
          <c:order val="0"/>
          <c:tx>
            <c:strRef>
              <c:f>Elektrisitet!$A$34</c:f>
              <c:strCache>
                <c:ptCount val="1"/>
                <c:pt idx="0">
                  <c:v>Elektrisitet pr person</c:v>
                </c:pt>
              </c:strCache>
            </c:strRef>
          </c:tx>
          <c:spPr>
            <a:ln w="28575" cap="rnd">
              <a:solidFill>
                <a:schemeClr val="accent1"/>
              </a:solidFill>
              <a:round/>
            </a:ln>
            <a:effectLst/>
          </c:spPr>
          <c:marker>
            <c:symbol val="none"/>
          </c:marker>
          <c:cat>
            <c:strRef>
              <c:f>Elektrisitet!$L$21:$U$21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Elektrisitet!$L$34:$U$34</c:f>
              <c:numCache>
                <c:formatCode>#,##0</c:formatCode>
                <c:ptCount val="10"/>
                <c:pt idx="0">
                  <c:v>4842.1447106047999</c:v>
                </c:pt>
                <c:pt idx="1">
                  <c:v>4826.784453141503</c:v>
                </c:pt>
                <c:pt idx="2">
                  <c:v>4757.4367832000999</c:v>
                </c:pt>
                <c:pt idx="3">
                  <c:v>4827.0009956717613</c:v>
                </c:pt>
                <c:pt idx="4">
                  <c:v>4728.4607664516543</c:v>
                </c:pt>
                <c:pt idx="5">
                  <c:v>4758.6333832998107</c:v>
                </c:pt>
                <c:pt idx="6">
                  <c:v>4739.0431096126422</c:v>
                </c:pt>
                <c:pt idx="7">
                  <c:v>4427.2701831371523</c:v>
                </c:pt>
                <c:pt idx="8">
                  <c:v>4186.28883747495</c:v>
                </c:pt>
                <c:pt idx="9">
                  <c:v>4220.1340621251229</c:v>
                </c:pt>
              </c:numCache>
            </c:numRef>
          </c:val>
          <c:smooth val="0"/>
          <c:extLst>
            <c:ext xmlns:c16="http://schemas.microsoft.com/office/drawing/2014/chart" uri="{C3380CC4-5D6E-409C-BE32-E72D297353CC}">
              <c16:uniqueId val="{00000000-77E4-4069-A93F-E3B6C5952501}"/>
            </c:ext>
          </c:extLst>
        </c:ser>
        <c:ser>
          <c:idx val="1"/>
          <c:order val="1"/>
          <c:tx>
            <c:strRef>
              <c:f>Elektrisitet!$A$35</c:f>
              <c:strCache>
                <c:ptCount val="1"/>
                <c:pt idx="0">
                  <c:v>Snitt 10 år (4 600 kWh)</c:v>
                </c:pt>
              </c:strCache>
            </c:strRef>
          </c:tx>
          <c:spPr>
            <a:ln w="28575" cap="rnd">
              <a:solidFill>
                <a:schemeClr val="accent2"/>
              </a:solidFill>
              <a:round/>
            </a:ln>
            <a:effectLst/>
          </c:spPr>
          <c:marker>
            <c:symbol val="none"/>
          </c:marker>
          <c:cat>
            <c:strRef>
              <c:f>Elektrisitet!$L$21:$U$21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Elektrisitet!$L$35:$U$35</c:f>
              <c:numCache>
                <c:formatCode>#,##0</c:formatCode>
                <c:ptCount val="10"/>
                <c:pt idx="0">
                  <c:v>4631.3197284719499</c:v>
                </c:pt>
                <c:pt idx="1">
                  <c:v>4631.3197284719499</c:v>
                </c:pt>
                <c:pt idx="2">
                  <c:v>4631.3197284719499</c:v>
                </c:pt>
                <c:pt idx="3">
                  <c:v>4631.3197284719499</c:v>
                </c:pt>
                <c:pt idx="4">
                  <c:v>4631.3197284719499</c:v>
                </c:pt>
                <c:pt idx="5">
                  <c:v>4631.3197284719499</c:v>
                </c:pt>
                <c:pt idx="6">
                  <c:v>4631.3197284719499</c:v>
                </c:pt>
                <c:pt idx="7">
                  <c:v>4631.3197284719499</c:v>
                </c:pt>
                <c:pt idx="8">
                  <c:v>4631.3197284719499</c:v>
                </c:pt>
                <c:pt idx="9">
                  <c:v>4631.3197284719499</c:v>
                </c:pt>
              </c:numCache>
            </c:numRef>
          </c:val>
          <c:smooth val="0"/>
          <c:extLst>
            <c:ext xmlns:c16="http://schemas.microsoft.com/office/drawing/2014/chart" uri="{C3380CC4-5D6E-409C-BE32-E72D297353CC}">
              <c16:uniqueId val="{00000002-77E4-4069-A93F-E3B6C5952501}"/>
            </c:ext>
          </c:extLst>
        </c:ser>
        <c:ser>
          <c:idx val="3"/>
          <c:order val="2"/>
          <c:tx>
            <c:strRef>
              <c:f>Elektrisitet!$A$36</c:f>
              <c:strCache>
                <c:ptCount val="1"/>
                <c:pt idx="0">
                  <c:v>Snitt 5 år (4 500 kWh)</c:v>
                </c:pt>
              </c:strCache>
            </c:strRef>
          </c:tx>
          <c:spPr>
            <a:ln w="28575" cap="rnd">
              <a:solidFill>
                <a:schemeClr val="accent3"/>
              </a:solidFill>
              <a:round/>
            </a:ln>
            <a:effectLst/>
          </c:spPr>
          <c:marker>
            <c:symbol val="none"/>
          </c:marker>
          <c:cat>
            <c:strRef>
              <c:f>Elektrisitet!$L$21:$U$21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Elektrisitet!$L$36:$U$36</c:f>
              <c:numCache>
                <c:formatCode>General</c:formatCode>
                <c:ptCount val="10"/>
                <c:pt idx="5" formatCode="#,##0">
                  <c:v>4466.2739151299356</c:v>
                </c:pt>
                <c:pt idx="6" formatCode="#,##0">
                  <c:v>4466.2739151299356</c:v>
                </c:pt>
                <c:pt idx="7" formatCode="#,##0">
                  <c:v>4466.2739151299356</c:v>
                </c:pt>
                <c:pt idx="8" formatCode="#,##0">
                  <c:v>4466.2739151299356</c:v>
                </c:pt>
                <c:pt idx="9" formatCode="#,##0">
                  <c:v>4466.2739151299356</c:v>
                </c:pt>
              </c:numCache>
            </c:numRef>
          </c:val>
          <c:smooth val="0"/>
          <c:extLst>
            <c:ext xmlns:c16="http://schemas.microsoft.com/office/drawing/2014/chart" uri="{C3380CC4-5D6E-409C-BE32-E72D297353CC}">
              <c16:uniqueId val="{00000006-77E4-4069-A93F-E3B6C5952501}"/>
            </c:ext>
          </c:extLst>
        </c:ser>
        <c:ser>
          <c:idx val="2"/>
          <c:order val="3"/>
          <c:tx>
            <c:strRef>
              <c:f>Elektrisitet!$A$37</c:f>
              <c:strCache>
                <c:ptCount val="1"/>
                <c:pt idx="0">
                  <c:v>Snitt 3 år (4 300)</c:v>
                </c:pt>
              </c:strCache>
            </c:strRef>
          </c:tx>
          <c:spPr>
            <a:ln w="28575" cap="rnd">
              <a:solidFill>
                <a:schemeClr val="accent4"/>
              </a:solidFill>
              <a:round/>
            </a:ln>
            <a:effectLst/>
          </c:spPr>
          <c:marker>
            <c:symbol val="none"/>
          </c:marker>
          <c:cat>
            <c:strRef>
              <c:f>Elektrisitet!$L$21:$U$21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Elektrisitet!$L$37:$U$37</c:f>
              <c:numCache>
                <c:formatCode>General</c:formatCode>
                <c:ptCount val="10"/>
                <c:pt idx="7" formatCode="#,##0">
                  <c:v>4277.8976942457411</c:v>
                </c:pt>
                <c:pt idx="8" formatCode="#,##0">
                  <c:v>4277.8976942457411</c:v>
                </c:pt>
                <c:pt idx="9" formatCode="#,##0">
                  <c:v>4277.8976942457411</c:v>
                </c:pt>
              </c:numCache>
            </c:numRef>
          </c:val>
          <c:smooth val="0"/>
          <c:extLst>
            <c:ext xmlns:c16="http://schemas.microsoft.com/office/drawing/2014/chart" uri="{C3380CC4-5D6E-409C-BE32-E72D297353CC}">
              <c16:uniqueId val="{00000008-77E4-4069-A93F-E3B6C5952501}"/>
            </c:ext>
          </c:extLst>
        </c:ser>
        <c:dLbls>
          <c:showLegendKey val="0"/>
          <c:showVal val="0"/>
          <c:showCatName val="0"/>
          <c:showSerName val="0"/>
          <c:showPercent val="0"/>
          <c:showBubbleSize val="0"/>
        </c:dLbls>
        <c:smooth val="0"/>
        <c:axId val="17446544"/>
        <c:axId val="17435504"/>
      </c:lineChart>
      <c:catAx>
        <c:axId val="1744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7435504"/>
        <c:crosses val="autoZero"/>
        <c:auto val="1"/>
        <c:lblAlgn val="ctr"/>
        <c:lblOffset val="100"/>
        <c:noMultiLvlLbl val="0"/>
      </c:catAx>
      <c:valAx>
        <c:axId val="1743550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Elektrisitetsbruk temperaturkorrigert</a:t>
                </a:r>
                <a:r>
                  <a:rPr lang="nb-NO" baseline="0"/>
                  <a:t> [kWh/år]</a:t>
                </a:r>
                <a:endParaRPr lang="nb-NO"/>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7446544"/>
        <c:crosses val="autoZero"/>
        <c:crossBetween val="between"/>
      </c:valAx>
      <c:spPr>
        <a:noFill/>
        <a:ln>
          <a:noFill/>
        </a:ln>
        <a:effectLst/>
      </c:spPr>
    </c:plotArea>
    <c:legend>
      <c:legendPos val="b"/>
      <c:layout>
        <c:manualLayout>
          <c:xMode val="edge"/>
          <c:yMode val="edge"/>
          <c:x val="0.20741956002017856"/>
          <c:y val="0.61573855351414408"/>
          <c:w val="0.33399249884850746"/>
          <c:h val="0.2083355205599300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805314960629922"/>
          <c:y val="5.0925925925925923E-2"/>
          <c:w val="0.79953915135608034"/>
          <c:h val="0.79685914260717405"/>
        </c:manualLayout>
      </c:layout>
      <c:lineChart>
        <c:grouping val="standard"/>
        <c:varyColors val="0"/>
        <c:ser>
          <c:idx val="1"/>
          <c:order val="0"/>
          <c:tx>
            <c:strRef>
              <c:f>Bio!$B$19</c:f>
              <c:strCache>
                <c:ptCount val="1"/>
                <c:pt idx="0">
                  <c:v>Lukket ovn ny teknologi (produsert etter 1998)</c:v>
                </c:pt>
              </c:strCache>
            </c:strRef>
          </c:tx>
          <c:spPr>
            <a:ln w="28575" cap="rnd">
              <a:solidFill>
                <a:schemeClr val="accent2"/>
              </a:solidFill>
              <a:round/>
            </a:ln>
            <a:effectLst/>
          </c:spPr>
          <c:marker>
            <c:symbol val="none"/>
          </c:marker>
          <c:cat>
            <c:strRef>
              <c:f>Bio!$C$4:$U$4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Bio!$C$19:$U$19</c:f>
              <c:numCache>
                <c:formatCode>0.0</c:formatCode>
                <c:ptCount val="19"/>
                <c:pt idx="0">
                  <c:v>395.2</c:v>
                </c:pt>
                <c:pt idx="1">
                  <c:v>448.8</c:v>
                </c:pt>
                <c:pt idx="2">
                  <c:v>464</c:v>
                </c:pt>
                <c:pt idx="3">
                  <c:v>502.7</c:v>
                </c:pt>
                <c:pt idx="4">
                  <c:v>555.6</c:v>
                </c:pt>
                <c:pt idx="5">
                  <c:v>600.20000000000005</c:v>
                </c:pt>
                <c:pt idx="6">
                  <c:v>630.20000000000005</c:v>
                </c:pt>
                <c:pt idx="7" formatCode="General">
                  <c:v>645.79999999999995</c:v>
                </c:pt>
                <c:pt idx="8">
                  <c:v>661.4</c:v>
                </c:pt>
                <c:pt idx="9">
                  <c:v>668.9</c:v>
                </c:pt>
                <c:pt idx="10">
                  <c:v>708.7</c:v>
                </c:pt>
                <c:pt idx="11">
                  <c:v>731.9</c:v>
                </c:pt>
                <c:pt idx="12">
                  <c:v>796.1</c:v>
                </c:pt>
                <c:pt idx="13">
                  <c:v>760</c:v>
                </c:pt>
                <c:pt idx="14">
                  <c:v>760.4</c:v>
                </c:pt>
                <c:pt idx="15">
                  <c:v>782</c:v>
                </c:pt>
                <c:pt idx="16">
                  <c:v>885.2</c:v>
                </c:pt>
                <c:pt idx="17">
                  <c:v>870.8</c:v>
                </c:pt>
                <c:pt idx="18">
                  <c:v>884.5</c:v>
                </c:pt>
              </c:numCache>
            </c:numRef>
          </c:val>
          <c:smooth val="0"/>
          <c:extLst>
            <c:ext xmlns:c16="http://schemas.microsoft.com/office/drawing/2014/chart" uri="{C3380CC4-5D6E-409C-BE32-E72D297353CC}">
              <c16:uniqueId val="{00000001-2366-4466-A1B9-2A954CCF2C5F}"/>
            </c:ext>
          </c:extLst>
        </c:ser>
        <c:ser>
          <c:idx val="2"/>
          <c:order val="1"/>
          <c:tx>
            <c:strRef>
              <c:f>Bio!$B$20</c:f>
              <c:strCache>
                <c:ptCount val="1"/>
                <c:pt idx="0">
                  <c:v>Lukket ovn gammel teknologi (produsert før 1998)</c:v>
                </c:pt>
              </c:strCache>
            </c:strRef>
          </c:tx>
          <c:spPr>
            <a:ln w="28575" cap="rnd">
              <a:solidFill>
                <a:schemeClr val="accent3"/>
              </a:solidFill>
              <a:round/>
            </a:ln>
            <a:effectLst/>
          </c:spPr>
          <c:marker>
            <c:symbol val="none"/>
          </c:marker>
          <c:cat>
            <c:strRef>
              <c:f>Bio!$C$4:$U$4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Bio!$C$20:$U$20</c:f>
              <c:numCache>
                <c:formatCode>0.0</c:formatCode>
                <c:ptCount val="19"/>
                <c:pt idx="0">
                  <c:v>705.2</c:v>
                </c:pt>
                <c:pt idx="1">
                  <c:v>688.5</c:v>
                </c:pt>
                <c:pt idx="2">
                  <c:v>650.6</c:v>
                </c:pt>
                <c:pt idx="3">
                  <c:v>625.4</c:v>
                </c:pt>
                <c:pt idx="4">
                  <c:v>599.1</c:v>
                </c:pt>
                <c:pt idx="5">
                  <c:v>572.70000000000005</c:v>
                </c:pt>
                <c:pt idx="6">
                  <c:v>592.79999999999995</c:v>
                </c:pt>
                <c:pt idx="7" formatCode="General">
                  <c:v>547.04999999999995</c:v>
                </c:pt>
                <c:pt idx="8">
                  <c:v>501.3</c:v>
                </c:pt>
                <c:pt idx="9">
                  <c:v>455.1</c:v>
                </c:pt>
                <c:pt idx="10">
                  <c:v>411.1</c:v>
                </c:pt>
                <c:pt idx="11">
                  <c:v>406.2</c:v>
                </c:pt>
                <c:pt idx="12">
                  <c:v>399.7</c:v>
                </c:pt>
                <c:pt idx="13">
                  <c:v>359.4</c:v>
                </c:pt>
                <c:pt idx="14">
                  <c:v>316.3</c:v>
                </c:pt>
                <c:pt idx="15">
                  <c:v>335.3</c:v>
                </c:pt>
                <c:pt idx="16">
                  <c:v>332.3</c:v>
                </c:pt>
                <c:pt idx="17">
                  <c:v>339.2</c:v>
                </c:pt>
                <c:pt idx="18">
                  <c:v>329.7</c:v>
                </c:pt>
              </c:numCache>
            </c:numRef>
          </c:val>
          <c:smooth val="0"/>
          <c:extLst>
            <c:ext xmlns:c16="http://schemas.microsoft.com/office/drawing/2014/chart" uri="{C3380CC4-5D6E-409C-BE32-E72D297353CC}">
              <c16:uniqueId val="{00000002-2366-4466-A1B9-2A954CCF2C5F}"/>
            </c:ext>
          </c:extLst>
        </c:ser>
        <c:ser>
          <c:idx val="0"/>
          <c:order val="2"/>
          <c:tx>
            <c:strRef>
              <c:f>Bio!$B$18</c:f>
              <c:strCache>
                <c:ptCount val="1"/>
                <c:pt idx="0">
                  <c:v>Åpen peis</c:v>
                </c:pt>
              </c:strCache>
            </c:strRef>
          </c:tx>
          <c:spPr>
            <a:ln w="28575" cap="rnd">
              <a:solidFill>
                <a:schemeClr val="accent1"/>
              </a:solidFill>
              <a:round/>
            </a:ln>
            <a:effectLst/>
          </c:spPr>
          <c:marker>
            <c:symbol val="none"/>
          </c:marker>
          <c:cat>
            <c:strRef>
              <c:f>Bio!$C$4:$U$4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Bio!$C$18:$U$18</c:f>
              <c:numCache>
                <c:formatCode>0.0</c:formatCode>
                <c:ptCount val="19"/>
                <c:pt idx="0">
                  <c:v>117.2</c:v>
                </c:pt>
                <c:pt idx="1">
                  <c:v>106.4</c:v>
                </c:pt>
                <c:pt idx="2">
                  <c:v>125.6</c:v>
                </c:pt>
                <c:pt idx="3">
                  <c:v>128.6</c:v>
                </c:pt>
                <c:pt idx="4">
                  <c:v>103.4</c:v>
                </c:pt>
                <c:pt idx="5">
                  <c:v>120.5</c:v>
                </c:pt>
                <c:pt idx="6">
                  <c:v>115.7</c:v>
                </c:pt>
                <c:pt idx="7">
                  <c:v>108.80000000000001</c:v>
                </c:pt>
                <c:pt idx="8">
                  <c:v>101.9</c:v>
                </c:pt>
                <c:pt idx="9">
                  <c:v>108.6</c:v>
                </c:pt>
                <c:pt idx="10">
                  <c:v>78</c:v>
                </c:pt>
                <c:pt idx="11">
                  <c:v>90.8</c:v>
                </c:pt>
                <c:pt idx="12">
                  <c:v>80</c:v>
                </c:pt>
                <c:pt idx="13">
                  <c:v>74.5</c:v>
                </c:pt>
                <c:pt idx="14">
                  <c:v>59</c:v>
                </c:pt>
                <c:pt idx="15">
                  <c:v>63.9</c:v>
                </c:pt>
                <c:pt idx="16">
                  <c:v>53.7</c:v>
                </c:pt>
                <c:pt idx="17">
                  <c:v>65.7</c:v>
                </c:pt>
                <c:pt idx="18">
                  <c:v>55.2</c:v>
                </c:pt>
              </c:numCache>
            </c:numRef>
          </c:val>
          <c:smooth val="0"/>
          <c:extLst>
            <c:ext xmlns:c16="http://schemas.microsoft.com/office/drawing/2014/chart" uri="{C3380CC4-5D6E-409C-BE32-E72D297353CC}">
              <c16:uniqueId val="{00000000-2366-4466-A1B9-2A954CCF2C5F}"/>
            </c:ext>
          </c:extLst>
        </c:ser>
        <c:dLbls>
          <c:showLegendKey val="0"/>
          <c:showVal val="0"/>
          <c:showCatName val="0"/>
          <c:showSerName val="0"/>
          <c:showPercent val="0"/>
          <c:showBubbleSize val="0"/>
        </c:dLbls>
        <c:smooth val="0"/>
        <c:axId val="763429712"/>
        <c:axId val="763446512"/>
      </c:lineChart>
      <c:catAx>
        <c:axId val="76342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63446512"/>
        <c:crosses val="autoZero"/>
        <c:auto val="1"/>
        <c:lblAlgn val="ctr"/>
        <c:lblOffset val="100"/>
        <c:noMultiLvlLbl val="0"/>
      </c:catAx>
      <c:valAx>
        <c:axId val="763446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Husholdninger</a:t>
                </a:r>
                <a:r>
                  <a:rPr lang="nb-NO" baseline="0"/>
                  <a:t> som fyrer med ved </a:t>
                </a:r>
              </a:p>
              <a:p>
                <a:pPr>
                  <a:defRPr/>
                </a:pPr>
                <a:r>
                  <a:rPr lang="nb-NO" baseline="0"/>
                  <a:t>(1000 husholdninger)</a:t>
                </a:r>
                <a:endParaRPr lang="nb-NO"/>
              </a:p>
            </c:rich>
          </c:tx>
          <c:layout>
            <c:manualLayout>
              <c:xMode val="edge"/>
              <c:yMode val="edge"/>
              <c:x val="5.5555555555555558E-3"/>
              <c:y val="0.113939506316251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63429712"/>
        <c:crosses val="autoZero"/>
        <c:crossBetween val="between"/>
      </c:valAx>
      <c:spPr>
        <a:noFill/>
        <a:ln>
          <a:noFill/>
        </a:ln>
        <a:effectLst/>
      </c:spPr>
    </c:plotArea>
    <c:legend>
      <c:legendPos val="b"/>
      <c:layout>
        <c:manualLayout>
          <c:xMode val="edge"/>
          <c:yMode val="edge"/>
          <c:x val="0.1803320209973753"/>
          <c:y val="0.5991839974378077"/>
          <c:w val="0.61433573928258955"/>
          <c:h val="0.1355455450576841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78937007874015"/>
          <c:y val="5.0925925925925923E-2"/>
          <c:w val="0.80007042869641298"/>
          <c:h val="0.80808690580344122"/>
        </c:manualLayout>
      </c:layout>
      <c:lineChart>
        <c:grouping val="standard"/>
        <c:varyColors val="0"/>
        <c:ser>
          <c:idx val="0"/>
          <c:order val="0"/>
          <c:tx>
            <c:strRef>
              <c:f>Bio!$B$24</c:f>
              <c:strCache>
                <c:ptCount val="1"/>
                <c:pt idx="0">
                  <c:v>Åpen peis</c:v>
                </c:pt>
              </c:strCache>
            </c:strRef>
          </c:tx>
          <c:spPr>
            <a:ln w="28575" cap="rnd">
              <a:solidFill>
                <a:schemeClr val="accent4"/>
              </a:solidFill>
              <a:round/>
            </a:ln>
            <a:effectLst/>
          </c:spPr>
          <c:marker>
            <c:symbol val="none"/>
          </c:marker>
          <c:cat>
            <c:strRef>
              <c:f>Bio!$C$4:$U$4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Bio!$C$24:$U$24</c:f>
              <c:numCache>
                <c:formatCode>#,##0</c:formatCode>
                <c:ptCount val="19"/>
                <c:pt idx="0">
                  <c:v>1877.1331058020478</c:v>
                </c:pt>
                <c:pt idx="1">
                  <c:v>1879.6992481203006</c:v>
                </c:pt>
                <c:pt idx="2">
                  <c:v>1910.8280254777071</c:v>
                </c:pt>
                <c:pt idx="3">
                  <c:v>2177.2939346811822</c:v>
                </c:pt>
                <c:pt idx="4">
                  <c:v>2224.3713733075433</c:v>
                </c:pt>
                <c:pt idx="5">
                  <c:v>2572.6141078838173</c:v>
                </c:pt>
                <c:pt idx="6">
                  <c:v>1987.8997407087295</c:v>
                </c:pt>
                <c:pt idx="8">
                  <c:v>2060.8439646712463</c:v>
                </c:pt>
                <c:pt idx="9">
                  <c:v>1933.7016574585637</c:v>
                </c:pt>
                <c:pt idx="10">
                  <c:v>1666.6666666666667</c:v>
                </c:pt>
                <c:pt idx="11">
                  <c:v>1762.1145374449341</c:v>
                </c:pt>
                <c:pt idx="12">
                  <c:v>1750</c:v>
                </c:pt>
                <c:pt idx="13">
                  <c:v>1879.1946308724832</c:v>
                </c:pt>
                <c:pt idx="14">
                  <c:v>1864.406779661017</c:v>
                </c:pt>
                <c:pt idx="15">
                  <c:v>1721.4397496087638</c:v>
                </c:pt>
                <c:pt idx="16">
                  <c:v>1862.1973929236499</c:v>
                </c:pt>
                <c:pt idx="17">
                  <c:v>1674.27701674277</c:v>
                </c:pt>
                <c:pt idx="18">
                  <c:v>2355.072463768116</c:v>
                </c:pt>
              </c:numCache>
            </c:numRef>
          </c:val>
          <c:smooth val="0"/>
          <c:extLst>
            <c:ext xmlns:c16="http://schemas.microsoft.com/office/drawing/2014/chart" uri="{C3380CC4-5D6E-409C-BE32-E72D297353CC}">
              <c16:uniqueId val="{00000000-2DE7-4533-8179-34837E07AF0E}"/>
            </c:ext>
          </c:extLst>
        </c:ser>
        <c:ser>
          <c:idx val="1"/>
          <c:order val="1"/>
          <c:tx>
            <c:strRef>
              <c:f>Bio!$B$25</c:f>
              <c:strCache>
                <c:ptCount val="1"/>
                <c:pt idx="0">
                  <c:v>Lukket ovn ny teknologi (produsert etter 1998)</c:v>
                </c:pt>
              </c:strCache>
            </c:strRef>
          </c:tx>
          <c:spPr>
            <a:ln w="28575" cap="rnd">
              <a:solidFill>
                <a:schemeClr val="accent2"/>
              </a:solidFill>
              <a:round/>
            </a:ln>
            <a:effectLst/>
          </c:spPr>
          <c:marker>
            <c:symbol val="none"/>
          </c:marker>
          <c:cat>
            <c:strRef>
              <c:f>Bio!$C$4:$U$4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Bio!$C$25:$U$25</c:f>
              <c:numCache>
                <c:formatCode>#,##0</c:formatCode>
                <c:ptCount val="19"/>
                <c:pt idx="0">
                  <c:v>5541.4979757085021</c:v>
                </c:pt>
                <c:pt idx="1">
                  <c:v>5436.7201426024958</c:v>
                </c:pt>
                <c:pt idx="2">
                  <c:v>5172.4137931034484</c:v>
                </c:pt>
                <c:pt idx="3">
                  <c:v>5152.1782375174062</c:v>
                </c:pt>
                <c:pt idx="4">
                  <c:v>5255.5795536357091</c:v>
                </c:pt>
                <c:pt idx="5">
                  <c:v>5631.4561812729089</c:v>
                </c:pt>
                <c:pt idx="6">
                  <c:v>4950.8092668993968</c:v>
                </c:pt>
                <c:pt idx="8">
                  <c:v>4218.3247656486246</c:v>
                </c:pt>
                <c:pt idx="9">
                  <c:v>3587.9802661085364</c:v>
                </c:pt>
                <c:pt idx="10">
                  <c:v>3682.799492027656</c:v>
                </c:pt>
                <c:pt idx="11">
                  <c:v>3593.3870747369861</c:v>
                </c:pt>
                <c:pt idx="12">
                  <c:v>3693.0033915337267</c:v>
                </c:pt>
                <c:pt idx="13">
                  <c:v>3750</c:v>
                </c:pt>
                <c:pt idx="14">
                  <c:v>3577.0647027880063</c:v>
                </c:pt>
                <c:pt idx="15">
                  <c:v>3554.9872122762149</c:v>
                </c:pt>
                <c:pt idx="16">
                  <c:v>3987.7993673746046</c:v>
                </c:pt>
                <c:pt idx="17">
                  <c:v>4203.0316949931102</c:v>
                </c:pt>
                <c:pt idx="18">
                  <c:v>3979.6495195025436</c:v>
                </c:pt>
              </c:numCache>
            </c:numRef>
          </c:val>
          <c:smooth val="0"/>
          <c:extLst>
            <c:ext xmlns:c16="http://schemas.microsoft.com/office/drawing/2014/chart" uri="{C3380CC4-5D6E-409C-BE32-E72D297353CC}">
              <c16:uniqueId val="{00000001-2DE7-4533-8179-34837E07AF0E}"/>
            </c:ext>
          </c:extLst>
        </c:ser>
        <c:ser>
          <c:idx val="2"/>
          <c:order val="2"/>
          <c:tx>
            <c:strRef>
              <c:f>Bio!$B$26</c:f>
              <c:strCache>
                <c:ptCount val="1"/>
                <c:pt idx="0">
                  <c:v>Lukket ovn gammel teknologi (produsert før 1998)</c:v>
                </c:pt>
              </c:strCache>
            </c:strRef>
          </c:tx>
          <c:spPr>
            <a:ln w="28575" cap="rnd">
              <a:solidFill>
                <a:schemeClr val="accent3"/>
              </a:solidFill>
              <a:round/>
            </a:ln>
            <a:effectLst/>
          </c:spPr>
          <c:marker>
            <c:symbol val="none"/>
          </c:marker>
          <c:cat>
            <c:strRef>
              <c:f>Bio!$C$4:$U$4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Bio!$C$26:$U$26</c:f>
              <c:numCache>
                <c:formatCode>#,##0</c:formatCode>
                <c:ptCount val="19"/>
                <c:pt idx="0">
                  <c:v>5714.6908678389109</c:v>
                </c:pt>
                <c:pt idx="1">
                  <c:v>5461.1474219317361</c:v>
                </c:pt>
                <c:pt idx="2">
                  <c:v>5272.0565631724558</c:v>
                </c:pt>
                <c:pt idx="3">
                  <c:v>4988.8071634154139</c:v>
                </c:pt>
                <c:pt idx="4">
                  <c:v>5107.6614922383569</c:v>
                </c:pt>
                <c:pt idx="5">
                  <c:v>5692.3345556137592</c:v>
                </c:pt>
                <c:pt idx="6">
                  <c:v>4757.0850202429156</c:v>
                </c:pt>
                <c:pt idx="8">
                  <c:v>4089.3676441252737</c:v>
                </c:pt>
                <c:pt idx="9">
                  <c:v>3735.4427598330035</c:v>
                </c:pt>
                <c:pt idx="10">
                  <c:v>4037.9469715397713</c:v>
                </c:pt>
                <c:pt idx="11">
                  <c:v>3569.670113244707</c:v>
                </c:pt>
                <c:pt idx="12">
                  <c:v>3852.8896672504379</c:v>
                </c:pt>
                <c:pt idx="13">
                  <c:v>3728.436282693378</c:v>
                </c:pt>
                <c:pt idx="14">
                  <c:v>3414.4799241226683</c:v>
                </c:pt>
                <c:pt idx="15">
                  <c:v>3578.8845809722634</c:v>
                </c:pt>
                <c:pt idx="16">
                  <c:v>3821.8477279566655</c:v>
                </c:pt>
                <c:pt idx="17">
                  <c:v>4127.3584905660382</c:v>
                </c:pt>
                <c:pt idx="18">
                  <c:v>4276.6151046405821</c:v>
                </c:pt>
              </c:numCache>
            </c:numRef>
          </c:val>
          <c:smooth val="0"/>
          <c:extLst>
            <c:ext xmlns:c16="http://schemas.microsoft.com/office/drawing/2014/chart" uri="{C3380CC4-5D6E-409C-BE32-E72D297353CC}">
              <c16:uniqueId val="{00000002-2DE7-4533-8179-34837E07AF0E}"/>
            </c:ext>
          </c:extLst>
        </c:ser>
        <c:ser>
          <c:idx val="3"/>
          <c:order val="3"/>
          <c:tx>
            <c:strRef>
              <c:f>Bio!$B$27</c:f>
              <c:strCache>
                <c:ptCount val="1"/>
                <c:pt idx="0">
                  <c:v>Alle teknologier</c:v>
                </c:pt>
              </c:strCache>
            </c:strRef>
          </c:tx>
          <c:spPr>
            <a:ln w="28575" cap="rnd">
              <a:solidFill>
                <a:schemeClr val="accent1"/>
              </a:solidFill>
              <a:round/>
            </a:ln>
            <a:effectLst/>
          </c:spPr>
          <c:marker>
            <c:symbol val="none"/>
          </c:marker>
          <c:cat>
            <c:strRef>
              <c:f>Bio!$C$4:$U$4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Bio!$C$27:$U$27</c:f>
              <c:numCache>
                <c:formatCode>#,##0</c:formatCode>
                <c:ptCount val="19"/>
                <c:pt idx="0">
                  <c:v>5289.093298291722</c:v>
                </c:pt>
                <c:pt idx="1">
                  <c:v>5145.9355149955773</c:v>
                </c:pt>
                <c:pt idx="2">
                  <c:v>4894.3718755039508</c:v>
                </c:pt>
                <c:pt idx="3">
                  <c:v>4774.4091668656001</c:v>
                </c:pt>
                <c:pt idx="4">
                  <c:v>4936.0146252285194</c:v>
                </c:pt>
                <c:pt idx="5">
                  <c:v>5373.4343590536564</c:v>
                </c:pt>
                <c:pt idx="6">
                  <c:v>4616.4189138716665</c:v>
                </c:pt>
                <c:pt idx="8">
                  <c:v>3993.6733886911825</c:v>
                </c:pt>
                <c:pt idx="9">
                  <c:v>3496.9574036511158</c:v>
                </c:pt>
                <c:pt idx="10">
                  <c:v>3673.4012355985974</c:v>
                </c:pt>
                <c:pt idx="11">
                  <c:v>3450.2400520790948</c:v>
                </c:pt>
                <c:pt idx="12">
                  <c:v>3621.2572503527199</c:v>
                </c:pt>
                <c:pt idx="13">
                  <c:v>3626.769411173465</c:v>
                </c:pt>
                <c:pt idx="14">
                  <c:v>3442.8106013912125</c:v>
                </c:pt>
                <c:pt idx="15">
                  <c:v>3471.0463934981371</c:v>
                </c:pt>
                <c:pt idx="16">
                  <c:v>3846.4563832297649</c:v>
                </c:pt>
                <c:pt idx="17">
                  <c:v>4060.5157952496666</c:v>
                </c:pt>
                <c:pt idx="18">
                  <c:v>3986.1351819757365</c:v>
                </c:pt>
              </c:numCache>
            </c:numRef>
          </c:val>
          <c:smooth val="0"/>
          <c:extLst>
            <c:ext xmlns:c16="http://schemas.microsoft.com/office/drawing/2014/chart" uri="{C3380CC4-5D6E-409C-BE32-E72D297353CC}">
              <c16:uniqueId val="{00000003-2DE7-4533-8179-34837E07AF0E}"/>
            </c:ext>
          </c:extLst>
        </c:ser>
        <c:dLbls>
          <c:showLegendKey val="0"/>
          <c:showVal val="0"/>
          <c:showCatName val="0"/>
          <c:showSerName val="0"/>
          <c:showPercent val="0"/>
          <c:showBubbleSize val="0"/>
        </c:dLbls>
        <c:smooth val="0"/>
        <c:axId val="1477348272"/>
        <c:axId val="1477353072"/>
      </c:lineChart>
      <c:catAx>
        <c:axId val="14773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477353072"/>
        <c:crosses val="autoZero"/>
        <c:auto val="1"/>
        <c:lblAlgn val="ctr"/>
        <c:lblOffset val="100"/>
        <c:noMultiLvlLbl val="0"/>
      </c:catAx>
      <c:valAx>
        <c:axId val="147735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Innfyrt</a:t>
                </a:r>
                <a:r>
                  <a:rPr lang="nb-NO" baseline="0"/>
                  <a:t> energi</a:t>
                </a:r>
                <a:r>
                  <a:rPr lang="nb-NO"/>
                  <a:t> pr bolig som bruker vedovn</a:t>
                </a:r>
                <a:r>
                  <a:rPr lang="nb-NO" baseline="0"/>
                  <a:t> [kWh/år]</a:t>
                </a:r>
                <a:endParaRPr lang="nb-NO"/>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477348272"/>
        <c:crosses val="autoZero"/>
        <c:crossBetween val="between"/>
      </c:valAx>
      <c:spPr>
        <a:noFill/>
        <a:ln>
          <a:noFill/>
        </a:ln>
        <a:effectLst/>
      </c:spPr>
    </c:plotArea>
    <c:legend>
      <c:legendPos val="b"/>
      <c:layout>
        <c:manualLayout>
          <c:xMode val="edge"/>
          <c:yMode val="edge"/>
          <c:x val="0.18033202099737536"/>
          <c:y val="0.6851829979585885"/>
          <c:w val="0.63655796150481192"/>
          <c:h val="0.19444663167104106"/>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47003499562553"/>
          <c:y val="5.0925925925925923E-2"/>
          <c:w val="0.81297440944881894"/>
          <c:h val="0.8173439778361038"/>
        </c:manualLayout>
      </c:layout>
      <c:lineChart>
        <c:grouping val="standard"/>
        <c:varyColors val="0"/>
        <c:ser>
          <c:idx val="0"/>
          <c:order val="0"/>
          <c:tx>
            <c:strRef>
              <c:f>Bio!$B$65</c:f>
              <c:strCache>
                <c:ptCount val="1"/>
                <c:pt idx="0">
                  <c:v>Gjennomsnittlig vedforbruk pr husholdning som fyrer med ved</c:v>
                </c:pt>
              </c:strCache>
            </c:strRef>
          </c:tx>
          <c:spPr>
            <a:ln w="28575" cap="rnd">
              <a:solidFill>
                <a:schemeClr val="accent1"/>
              </a:solidFill>
              <a:round/>
            </a:ln>
            <a:effectLst/>
          </c:spPr>
          <c:marker>
            <c:symbol val="none"/>
          </c:marker>
          <c:cat>
            <c:strRef>
              <c:f>Bio!$C$64:$U$64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Bio!$C$65:$U$65</c:f>
              <c:numCache>
                <c:formatCode>#,##0</c:formatCode>
                <c:ptCount val="19"/>
                <c:pt idx="0">
                  <c:v>5289.093298291722</c:v>
                </c:pt>
                <c:pt idx="1">
                  <c:v>5145.9355149955773</c:v>
                </c:pt>
                <c:pt idx="2">
                  <c:v>4894.3718755039508</c:v>
                </c:pt>
                <c:pt idx="3">
                  <c:v>4774.4091668656001</c:v>
                </c:pt>
                <c:pt idx="4">
                  <c:v>4936.0146252285194</c:v>
                </c:pt>
                <c:pt idx="5">
                  <c:v>5373.4343590536564</c:v>
                </c:pt>
                <c:pt idx="6">
                  <c:v>4616.4189138716665</c:v>
                </c:pt>
                <c:pt idx="8">
                  <c:v>3993.6733886911825</c:v>
                </c:pt>
                <c:pt idx="9">
                  <c:v>3496.9574036511158</c:v>
                </c:pt>
                <c:pt idx="10">
                  <c:v>3673.4012355985974</c:v>
                </c:pt>
                <c:pt idx="11">
                  <c:v>3450.2400520790948</c:v>
                </c:pt>
                <c:pt idx="12">
                  <c:v>3621.2572503527199</c:v>
                </c:pt>
                <c:pt idx="13">
                  <c:v>3626.769411173465</c:v>
                </c:pt>
                <c:pt idx="14">
                  <c:v>3442.8106013912125</c:v>
                </c:pt>
                <c:pt idx="15">
                  <c:v>3471.0463934981371</c:v>
                </c:pt>
                <c:pt idx="16">
                  <c:v>3846.4563832297649</c:v>
                </c:pt>
                <c:pt idx="17">
                  <c:v>4060.5157952496666</c:v>
                </c:pt>
                <c:pt idx="18">
                  <c:v>3986.1351819757365</c:v>
                </c:pt>
              </c:numCache>
            </c:numRef>
          </c:val>
          <c:smooth val="0"/>
          <c:extLst>
            <c:ext xmlns:c16="http://schemas.microsoft.com/office/drawing/2014/chart" uri="{C3380CC4-5D6E-409C-BE32-E72D297353CC}">
              <c16:uniqueId val="{00000000-5BF9-4879-A7BA-6E166FB22D49}"/>
            </c:ext>
          </c:extLst>
        </c:ser>
        <c:ser>
          <c:idx val="1"/>
          <c:order val="1"/>
          <c:tx>
            <c:strRef>
              <c:f>Bio!$B$66</c:f>
              <c:strCache>
                <c:ptCount val="1"/>
                <c:pt idx="0">
                  <c:v>Snitt 19 år</c:v>
                </c:pt>
              </c:strCache>
            </c:strRef>
          </c:tx>
          <c:spPr>
            <a:ln w="28575" cap="rnd">
              <a:solidFill>
                <a:schemeClr val="accent2"/>
              </a:solidFill>
              <a:round/>
            </a:ln>
            <a:effectLst/>
          </c:spPr>
          <c:marker>
            <c:symbol val="none"/>
          </c:marker>
          <c:cat>
            <c:strRef>
              <c:f>Bio!$C$64:$U$64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Bio!$C$66:$U$66</c:f>
              <c:numCache>
                <c:formatCode>#,##0</c:formatCode>
                <c:ptCount val="19"/>
                <c:pt idx="0">
                  <c:v>4205.496713927856</c:v>
                </c:pt>
                <c:pt idx="1">
                  <c:v>4205.496713927856</c:v>
                </c:pt>
                <c:pt idx="2">
                  <c:v>4205.496713927856</c:v>
                </c:pt>
                <c:pt idx="3">
                  <c:v>4205.496713927856</c:v>
                </c:pt>
                <c:pt idx="4">
                  <c:v>4205.496713927856</c:v>
                </c:pt>
                <c:pt idx="5">
                  <c:v>4205.496713927856</c:v>
                </c:pt>
                <c:pt idx="6">
                  <c:v>4205.496713927856</c:v>
                </c:pt>
                <c:pt idx="7">
                  <c:v>4205.496713927856</c:v>
                </c:pt>
                <c:pt idx="8">
                  <c:v>4205.496713927856</c:v>
                </c:pt>
                <c:pt idx="9">
                  <c:v>4205.496713927856</c:v>
                </c:pt>
                <c:pt idx="10">
                  <c:v>4205.496713927856</c:v>
                </c:pt>
                <c:pt idx="11">
                  <c:v>4205.496713927856</c:v>
                </c:pt>
                <c:pt idx="12">
                  <c:v>4205.496713927856</c:v>
                </c:pt>
                <c:pt idx="13">
                  <c:v>4205.496713927856</c:v>
                </c:pt>
                <c:pt idx="14">
                  <c:v>4205.496713927856</c:v>
                </c:pt>
                <c:pt idx="15">
                  <c:v>4205.496713927856</c:v>
                </c:pt>
                <c:pt idx="16">
                  <c:v>4205.496713927856</c:v>
                </c:pt>
                <c:pt idx="17">
                  <c:v>4205.496713927856</c:v>
                </c:pt>
                <c:pt idx="18">
                  <c:v>4205.496713927856</c:v>
                </c:pt>
              </c:numCache>
            </c:numRef>
          </c:val>
          <c:smooth val="0"/>
          <c:extLst>
            <c:ext xmlns:c16="http://schemas.microsoft.com/office/drawing/2014/chart" uri="{C3380CC4-5D6E-409C-BE32-E72D297353CC}">
              <c16:uniqueId val="{00000001-5BF9-4879-A7BA-6E166FB22D49}"/>
            </c:ext>
          </c:extLst>
        </c:ser>
        <c:ser>
          <c:idx val="2"/>
          <c:order val="2"/>
          <c:tx>
            <c:strRef>
              <c:f>Bio!$B$67</c:f>
              <c:strCache>
                <c:ptCount val="1"/>
                <c:pt idx="0">
                  <c:v>Snitt 10 år</c:v>
                </c:pt>
              </c:strCache>
            </c:strRef>
          </c:tx>
          <c:spPr>
            <a:ln w="28575" cap="rnd">
              <a:solidFill>
                <a:schemeClr val="accent3"/>
              </a:solidFill>
              <a:round/>
            </a:ln>
            <a:effectLst/>
          </c:spPr>
          <c:marker>
            <c:symbol val="none"/>
          </c:marker>
          <c:cat>
            <c:strRef>
              <c:f>Bio!$C$64:$U$64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Bio!$C$67:$U$67</c:f>
              <c:numCache>
                <c:formatCode>#,##0</c:formatCode>
                <c:ptCount val="19"/>
                <c:pt idx="9">
                  <c:v>3667.5589708199504</c:v>
                </c:pt>
                <c:pt idx="10">
                  <c:v>3667.5589708199504</c:v>
                </c:pt>
                <c:pt idx="11">
                  <c:v>3667.5589708199504</c:v>
                </c:pt>
                <c:pt idx="12">
                  <c:v>3667.5589708199504</c:v>
                </c:pt>
                <c:pt idx="13">
                  <c:v>3667.5589708199504</c:v>
                </c:pt>
                <c:pt idx="14">
                  <c:v>3667.5589708199504</c:v>
                </c:pt>
                <c:pt idx="15">
                  <c:v>3667.5589708199504</c:v>
                </c:pt>
                <c:pt idx="16">
                  <c:v>3667.5589708199504</c:v>
                </c:pt>
                <c:pt idx="17">
                  <c:v>3667.5589708199504</c:v>
                </c:pt>
                <c:pt idx="18">
                  <c:v>3667.5589708199504</c:v>
                </c:pt>
              </c:numCache>
            </c:numRef>
          </c:val>
          <c:smooth val="0"/>
          <c:extLst>
            <c:ext xmlns:c16="http://schemas.microsoft.com/office/drawing/2014/chart" uri="{C3380CC4-5D6E-409C-BE32-E72D297353CC}">
              <c16:uniqueId val="{00000002-5BF9-4879-A7BA-6E166FB22D49}"/>
            </c:ext>
          </c:extLst>
        </c:ser>
        <c:ser>
          <c:idx val="3"/>
          <c:order val="3"/>
          <c:tx>
            <c:strRef>
              <c:f>Bio!$B$68</c:f>
              <c:strCache>
                <c:ptCount val="1"/>
                <c:pt idx="0">
                  <c:v>Snitt 5 år</c:v>
                </c:pt>
              </c:strCache>
            </c:strRef>
          </c:tx>
          <c:spPr>
            <a:ln w="28575" cap="rnd">
              <a:solidFill>
                <a:schemeClr val="accent4"/>
              </a:solidFill>
              <a:round/>
            </a:ln>
            <a:effectLst/>
          </c:spPr>
          <c:marker>
            <c:symbol val="none"/>
          </c:marker>
          <c:cat>
            <c:strRef>
              <c:f>Bio!$C$64:$U$64</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Bio!$C$68:$U$68</c:f>
              <c:numCache>
                <c:formatCode>General</c:formatCode>
                <c:ptCount val="19"/>
                <c:pt idx="14" formatCode="#,##0">
                  <c:v>3761.3928710689033</c:v>
                </c:pt>
                <c:pt idx="15" formatCode="#,##0">
                  <c:v>3761.3928710689033</c:v>
                </c:pt>
                <c:pt idx="16" formatCode="#,##0">
                  <c:v>3761.3928710689033</c:v>
                </c:pt>
                <c:pt idx="17" formatCode="#,##0">
                  <c:v>3761.3928710689033</c:v>
                </c:pt>
                <c:pt idx="18" formatCode="#,##0">
                  <c:v>3761.3928710689033</c:v>
                </c:pt>
              </c:numCache>
            </c:numRef>
          </c:val>
          <c:smooth val="0"/>
          <c:extLst>
            <c:ext xmlns:c16="http://schemas.microsoft.com/office/drawing/2014/chart" uri="{C3380CC4-5D6E-409C-BE32-E72D297353CC}">
              <c16:uniqueId val="{00000003-5BF9-4879-A7BA-6E166FB22D49}"/>
            </c:ext>
          </c:extLst>
        </c:ser>
        <c:dLbls>
          <c:showLegendKey val="0"/>
          <c:showVal val="0"/>
          <c:showCatName val="0"/>
          <c:showSerName val="0"/>
          <c:showPercent val="0"/>
          <c:showBubbleSize val="0"/>
        </c:dLbls>
        <c:smooth val="0"/>
        <c:axId val="1711488607"/>
        <c:axId val="1711489087"/>
      </c:lineChart>
      <c:catAx>
        <c:axId val="171148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711489087"/>
        <c:crosses val="autoZero"/>
        <c:auto val="1"/>
        <c:lblAlgn val="ctr"/>
        <c:lblOffset val="100"/>
        <c:noMultiLvlLbl val="0"/>
      </c:catAx>
      <c:valAx>
        <c:axId val="1711489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Innfyrt energi [kWh/år]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711488607"/>
        <c:crosses val="autoZero"/>
        <c:crossBetween val="between"/>
      </c:valAx>
      <c:spPr>
        <a:noFill/>
        <a:ln>
          <a:noFill/>
        </a:ln>
        <a:effectLst/>
      </c:spPr>
    </c:plotArea>
    <c:legend>
      <c:legendPos val="b"/>
      <c:layout>
        <c:manualLayout>
          <c:xMode val="edge"/>
          <c:yMode val="edge"/>
          <c:x val="0.15992913385826768"/>
          <c:y val="0.63888670166229233"/>
          <c:w val="0.77458617672790897"/>
          <c:h val="0.22222440944881885"/>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037270341207349"/>
          <c:y val="5.0984936268829661E-2"/>
          <c:w val="0.77907174103237098"/>
          <c:h val="0.79395954416474301"/>
        </c:manualLayout>
      </c:layout>
      <c:lineChart>
        <c:grouping val="standard"/>
        <c:varyColors val="0"/>
        <c:ser>
          <c:idx val="0"/>
          <c:order val="0"/>
          <c:tx>
            <c:v>Gjennomsnittlig vedforbruk pr husholdning som fyrer med ved</c:v>
          </c:tx>
          <c:spPr>
            <a:ln w="28575" cap="rnd">
              <a:solidFill>
                <a:schemeClr val="accent1"/>
              </a:solidFill>
              <a:round/>
            </a:ln>
            <a:effectLst/>
          </c:spPr>
          <c:marker>
            <c:symbol val="none"/>
          </c:marker>
          <c:cat>
            <c:strRef>
              <c:f>Bio!$C$4:$V$4</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Bio!$C$36:$V$36</c:f>
              <c:numCache>
                <c:formatCode>#,##0</c:formatCode>
                <c:ptCount val="20"/>
                <c:pt idx="0">
                  <c:v>5486.419122217133</c:v>
                </c:pt>
                <c:pt idx="1">
                  <c:v>5485.9597955629415</c:v>
                </c:pt>
                <c:pt idx="2">
                  <c:v>5013.0734464065936</c:v>
                </c:pt>
                <c:pt idx="3">
                  <c:v>4964.4927130737451</c:v>
                </c:pt>
                <c:pt idx="4">
                  <c:v>4896.4879234829586</c:v>
                </c:pt>
                <c:pt idx="5">
                  <c:v>4519.1289403343526</c:v>
                </c:pt>
                <c:pt idx="6">
                  <c:v>4912.8834626510843</c:v>
                </c:pt>
                <c:pt idx="8">
                  <c:v>3939.3796418640723</c:v>
                </c:pt>
                <c:pt idx="9">
                  <c:v>3957.5079566289655</c:v>
                </c:pt>
                <c:pt idx="10">
                  <c:v>3986.4554965576294</c:v>
                </c:pt>
                <c:pt idx="11">
                  <c:v>3577.1640001806268</c:v>
                </c:pt>
                <c:pt idx="12">
                  <c:v>3722.1445507559679</c:v>
                </c:pt>
                <c:pt idx="13">
                  <c:v>3736.8285453191365</c:v>
                </c:pt>
                <c:pt idx="14">
                  <c:v>3552.3346504052124</c:v>
                </c:pt>
                <c:pt idx="15">
                  <c:v>3994.5813384544331</c:v>
                </c:pt>
                <c:pt idx="16">
                  <c:v>3891.3564622877943</c:v>
                </c:pt>
                <c:pt idx="17">
                  <c:v>4389.6795780930615</c:v>
                </c:pt>
                <c:pt idx="18">
                  <c:v>3990.1382975169636</c:v>
                </c:pt>
                <c:pt idx="19">
                  <c:v>3697.9715136364125</c:v>
                </c:pt>
              </c:numCache>
            </c:numRef>
          </c:val>
          <c:smooth val="0"/>
          <c:extLst>
            <c:ext xmlns:c16="http://schemas.microsoft.com/office/drawing/2014/chart" uri="{C3380CC4-5D6E-409C-BE32-E72D297353CC}">
              <c16:uniqueId val="{00000000-CBBD-45DA-84E9-6DCCBC42821A}"/>
            </c:ext>
          </c:extLst>
        </c:ser>
        <c:ser>
          <c:idx val="1"/>
          <c:order val="1"/>
          <c:tx>
            <c:strRef>
              <c:f>Bio!$B$37</c:f>
              <c:strCache>
                <c:ptCount val="1"/>
                <c:pt idx="0">
                  <c:v>Snitt 20 år (4 300)</c:v>
                </c:pt>
              </c:strCache>
            </c:strRef>
          </c:tx>
          <c:spPr>
            <a:ln w="28575" cap="rnd">
              <a:solidFill>
                <a:schemeClr val="accent2"/>
              </a:solidFill>
              <a:round/>
            </a:ln>
            <a:effectLst/>
          </c:spPr>
          <c:marker>
            <c:symbol val="none"/>
          </c:marker>
          <c:cat>
            <c:strRef>
              <c:f>Bio!$C$4:$V$4</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Bio!$C$37:$V$37</c:f>
              <c:numCache>
                <c:formatCode>#,##0</c:formatCode>
                <c:ptCount val="20"/>
                <c:pt idx="0">
                  <c:v>4300.7361808120568</c:v>
                </c:pt>
                <c:pt idx="1">
                  <c:v>4300.7361808120568</c:v>
                </c:pt>
                <c:pt idx="2">
                  <c:v>4300.7361808120568</c:v>
                </c:pt>
                <c:pt idx="3">
                  <c:v>4300.7361808120568</c:v>
                </c:pt>
                <c:pt idx="4">
                  <c:v>4300.7361808120568</c:v>
                </c:pt>
                <c:pt idx="5">
                  <c:v>4300.7361808120568</c:v>
                </c:pt>
                <c:pt idx="6">
                  <c:v>4300.7361808120568</c:v>
                </c:pt>
                <c:pt idx="7">
                  <c:v>4300.7361808120568</c:v>
                </c:pt>
                <c:pt idx="8">
                  <c:v>4300.7361808120568</c:v>
                </c:pt>
                <c:pt idx="9">
                  <c:v>4300.7361808120568</c:v>
                </c:pt>
                <c:pt idx="10">
                  <c:v>4300.7361808120568</c:v>
                </c:pt>
                <c:pt idx="11">
                  <c:v>4300.7361808120568</c:v>
                </c:pt>
                <c:pt idx="12">
                  <c:v>4300.7361808120568</c:v>
                </c:pt>
                <c:pt idx="13">
                  <c:v>4300.7361808120568</c:v>
                </c:pt>
                <c:pt idx="14">
                  <c:v>4300.7361808120568</c:v>
                </c:pt>
                <c:pt idx="15">
                  <c:v>4300.7361808120568</c:v>
                </c:pt>
                <c:pt idx="16">
                  <c:v>4300.7361808120568</c:v>
                </c:pt>
                <c:pt idx="17">
                  <c:v>4300.7361808120568</c:v>
                </c:pt>
                <c:pt idx="18">
                  <c:v>4300.7361808120568</c:v>
                </c:pt>
                <c:pt idx="19">
                  <c:v>4300.7361808120568</c:v>
                </c:pt>
              </c:numCache>
            </c:numRef>
          </c:val>
          <c:smooth val="0"/>
          <c:extLst>
            <c:ext xmlns:c16="http://schemas.microsoft.com/office/drawing/2014/chart" uri="{C3380CC4-5D6E-409C-BE32-E72D297353CC}">
              <c16:uniqueId val="{00000001-CBBD-45DA-84E9-6DCCBC42821A}"/>
            </c:ext>
          </c:extLst>
        </c:ser>
        <c:ser>
          <c:idx val="2"/>
          <c:order val="2"/>
          <c:tx>
            <c:strRef>
              <c:f>Bio!$B$38</c:f>
              <c:strCache>
                <c:ptCount val="1"/>
                <c:pt idx="0">
                  <c:v>Snitt 10 år (3 900)</c:v>
                </c:pt>
              </c:strCache>
            </c:strRef>
          </c:tx>
          <c:spPr>
            <a:ln w="28575" cap="rnd">
              <a:solidFill>
                <a:schemeClr val="accent3"/>
              </a:solidFill>
              <a:round/>
            </a:ln>
            <a:effectLst/>
          </c:spPr>
          <c:marker>
            <c:symbol val="none"/>
          </c:marker>
          <c:cat>
            <c:strRef>
              <c:f>Bio!$C$4:$V$4</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Bio!$C$38:$V$38</c:f>
              <c:numCache>
                <c:formatCode>#,##0</c:formatCode>
                <c:ptCount val="20"/>
                <c:pt idx="10">
                  <c:v>3853.8654433207239</c:v>
                </c:pt>
                <c:pt idx="11">
                  <c:v>3853.8654433207239</c:v>
                </c:pt>
                <c:pt idx="12">
                  <c:v>3853.8654433207239</c:v>
                </c:pt>
                <c:pt idx="13">
                  <c:v>3853.8654433207239</c:v>
                </c:pt>
                <c:pt idx="14">
                  <c:v>3853.8654433207239</c:v>
                </c:pt>
                <c:pt idx="15">
                  <c:v>3853.8654433207239</c:v>
                </c:pt>
                <c:pt idx="16">
                  <c:v>3853.8654433207239</c:v>
                </c:pt>
                <c:pt idx="17">
                  <c:v>3853.8654433207239</c:v>
                </c:pt>
                <c:pt idx="18">
                  <c:v>3853.8654433207239</c:v>
                </c:pt>
                <c:pt idx="19">
                  <c:v>3853.8654433207239</c:v>
                </c:pt>
              </c:numCache>
            </c:numRef>
          </c:val>
          <c:smooth val="0"/>
          <c:extLst>
            <c:ext xmlns:c16="http://schemas.microsoft.com/office/drawing/2014/chart" uri="{C3380CC4-5D6E-409C-BE32-E72D297353CC}">
              <c16:uniqueId val="{00000002-CBBD-45DA-84E9-6DCCBC42821A}"/>
            </c:ext>
          </c:extLst>
        </c:ser>
        <c:ser>
          <c:idx val="3"/>
          <c:order val="3"/>
          <c:tx>
            <c:strRef>
              <c:f>Bio!$B$39</c:f>
              <c:strCache>
                <c:ptCount val="1"/>
                <c:pt idx="0">
                  <c:v>Snitt 5 år (4000)</c:v>
                </c:pt>
              </c:strCache>
            </c:strRef>
          </c:tx>
          <c:spPr>
            <a:ln w="28575" cap="rnd">
              <a:solidFill>
                <a:schemeClr val="accent4"/>
              </a:solidFill>
              <a:round/>
            </a:ln>
            <a:effectLst/>
          </c:spPr>
          <c:marker>
            <c:symbol val="none"/>
          </c:marker>
          <c:cat>
            <c:strRef>
              <c:f>Bio!$C$4:$V$4</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Bio!$C$39:$V$39</c:f>
              <c:numCache>
                <c:formatCode>General</c:formatCode>
                <c:ptCount val="20"/>
                <c:pt idx="15" formatCode="#,##0">
                  <c:v>3992.745437997733</c:v>
                </c:pt>
                <c:pt idx="16" formatCode="#,##0">
                  <c:v>3992.745437997733</c:v>
                </c:pt>
                <c:pt idx="17" formatCode="#,##0">
                  <c:v>3992.745437997733</c:v>
                </c:pt>
                <c:pt idx="18" formatCode="#,##0">
                  <c:v>3992.745437997733</c:v>
                </c:pt>
                <c:pt idx="19" formatCode="#,##0">
                  <c:v>3992.745437997733</c:v>
                </c:pt>
              </c:numCache>
            </c:numRef>
          </c:val>
          <c:smooth val="0"/>
          <c:extLst>
            <c:ext xmlns:c16="http://schemas.microsoft.com/office/drawing/2014/chart" uri="{C3380CC4-5D6E-409C-BE32-E72D297353CC}">
              <c16:uniqueId val="{00000003-CBBD-45DA-84E9-6DCCBC42821A}"/>
            </c:ext>
          </c:extLst>
        </c:ser>
        <c:dLbls>
          <c:showLegendKey val="0"/>
          <c:showVal val="0"/>
          <c:showCatName val="0"/>
          <c:showSerName val="0"/>
          <c:showPercent val="0"/>
          <c:showBubbleSize val="0"/>
        </c:dLbls>
        <c:smooth val="0"/>
        <c:axId val="1696700832"/>
        <c:axId val="1696694592"/>
      </c:lineChart>
      <c:catAx>
        <c:axId val="169670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96694592"/>
        <c:crosses val="autoZero"/>
        <c:auto val="1"/>
        <c:lblAlgn val="ctr"/>
        <c:lblOffset val="100"/>
        <c:noMultiLvlLbl val="0"/>
      </c:catAx>
      <c:valAx>
        <c:axId val="1696694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Innfyrt energi pr</a:t>
                </a:r>
                <a:r>
                  <a:rPr lang="nb-NO" baseline="0"/>
                  <a:t> husholdning som fyrer med ved [kWh/år]</a:t>
                </a:r>
                <a:endParaRPr lang="nb-NO"/>
              </a:p>
            </c:rich>
          </c:tx>
          <c:layout>
            <c:manualLayout>
              <c:xMode val="edge"/>
              <c:yMode val="edge"/>
              <c:x val="1.9444444444444445E-2"/>
              <c:y val="5.0984936268829661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96700832"/>
        <c:crosses val="autoZero"/>
        <c:crossBetween val="between"/>
      </c:valAx>
      <c:spPr>
        <a:noFill/>
        <a:ln>
          <a:noFill/>
        </a:ln>
        <a:effectLst/>
      </c:spPr>
    </c:plotArea>
    <c:legend>
      <c:legendPos val="b"/>
      <c:layout>
        <c:manualLayout>
          <c:xMode val="edge"/>
          <c:yMode val="edge"/>
          <c:x val="0.19326246719160106"/>
          <c:y val="0.61529329111960662"/>
          <c:w val="0.79683274306868845"/>
          <c:h val="0.19930694063010371"/>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77580927384078"/>
          <c:y val="5.0925925925925923E-2"/>
          <c:w val="0.80566863517060383"/>
          <c:h val="0.70218358121901425"/>
        </c:manualLayout>
      </c:layout>
      <c:areaChart>
        <c:grouping val="stacked"/>
        <c:varyColors val="0"/>
        <c:ser>
          <c:idx val="0"/>
          <c:order val="0"/>
          <c:tx>
            <c:strRef>
              <c:f>VP!$C$4</c:f>
              <c:strCache>
                <c:ptCount val="1"/>
                <c:pt idx="0">
                  <c:v>Luft/ luft</c:v>
                </c:pt>
              </c:strCache>
            </c:strRef>
          </c:tx>
          <c:spPr>
            <a:solidFill>
              <a:schemeClr val="accent1"/>
            </a:solidFill>
            <a:ln>
              <a:noFill/>
            </a:ln>
            <a:effectLst/>
          </c:spPr>
          <c:cat>
            <c:numRef>
              <c:f>VP!$B$5:$B$25</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VP!$C$5:$C$25</c:f>
              <c:numCache>
                <c:formatCode>_ * #\ ##0_ ;_ * \-#\ ##0_ ;_ * "-"??_ ;_ @_ </c:formatCode>
                <c:ptCount val="21"/>
                <c:pt idx="0">
                  <c:v>1368.1010517383168</c:v>
                </c:pt>
                <c:pt idx="1">
                  <c:v>2029.0532150065337</c:v>
                </c:pt>
                <c:pt idx="2">
                  <c:v>2613.5596918187234</c:v>
                </c:pt>
                <c:pt idx="3">
                  <c:v>3300.6611126880334</c:v>
                </c:pt>
                <c:pt idx="4">
                  <c:v>3965.7695946955755</c:v>
                </c:pt>
                <c:pt idx="5">
                  <c:v>4728.0190117332713</c:v>
                </c:pt>
                <c:pt idx="6">
                  <c:v>5401.6352585516415</c:v>
                </c:pt>
                <c:pt idx="7">
                  <c:v>5880.3317768781044</c:v>
                </c:pt>
                <c:pt idx="8">
                  <c:v>6283.7464476555433</c:v>
                </c:pt>
                <c:pt idx="9">
                  <c:v>6598.3053063861935</c:v>
                </c:pt>
                <c:pt idx="10">
                  <c:v>6935.1493745515809</c:v>
                </c:pt>
                <c:pt idx="11">
                  <c:v>7287.3868946013126</c:v>
                </c:pt>
                <c:pt idx="12">
                  <c:v>7631.2917413780406</c:v>
                </c:pt>
                <c:pt idx="13">
                  <c:v>8085.265256262659</c:v>
                </c:pt>
                <c:pt idx="14">
                  <c:v>8551.6673910236805</c:v>
                </c:pt>
                <c:pt idx="15">
                  <c:v>8865.1788500153416</c:v>
                </c:pt>
                <c:pt idx="16">
                  <c:v>9434.6175527094474</c:v>
                </c:pt>
                <c:pt idx="17">
                  <c:v>10187.357987820793</c:v>
                </c:pt>
                <c:pt idx="18">
                  <c:v>10906</c:v>
                </c:pt>
                <c:pt idx="19">
                  <c:v>11484.614838653908</c:v>
                </c:pt>
                <c:pt idx="20">
                  <c:v>11945.273694608115</c:v>
                </c:pt>
              </c:numCache>
            </c:numRef>
          </c:val>
          <c:extLst>
            <c:ext xmlns:c16="http://schemas.microsoft.com/office/drawing/2014/chart" uri="{C3380CC4-5D6E-409C-BE32-E72D297353CC}">
              <c16:uniqueId val="{00000000-B12D-4FEE-8BCC-80DA5D5CFE3B}"/>
            </c:ext>
          </c:extLst>
        </c:ser>
        <c:ser>
          <c:idx val="1"/>
          <c:order val="1"/>
          <c:tx>
            <c:strRef>
              <c:f>VP!$D$4</c:f>
              <c:strCache>
                <c:ptCount val="1"/>
                <c:pt idx="0">
                  <c:v>Luft/ vann</c:v>
                </c:pt>
              </c:strCache>
            </c:strRef>
          </c:tx>
          <c:spPr>
            <a:solidFill>
              <a:schemeClr val="accent2"/>
            </a:solidFill>
            <a:ln>
              <a:noFill/>
            </a:ln>
            <a:effectLst/>
          </c:spPr>
          <c:cat>
            <c:numRef>
              <c:f>VP!$B$5:$B$25</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VP!$D$5:$D$25</c:f>
              <c:numCache>
                <c:formatCode>_ * #\ ##0_ ;_ * \-#\ ##0_ ;_ * "-"??_ ;_ @_ </c:formatCode>
                <c:ptCount val="21"/>
                <c:pt idx="0">
                  <c:v>31.213933740017165</c:v>
                </c:pt>
                <c:pt idx="1">
                  <c:v>53.562876831411977</c:v>
                </c:pt>
                <c:pt idx="2">
                  <c:v>84.956766278378822</c:v>
                </c:pt>
                <c:pt idx="3">
                  <c:v>122.77791143922795</c:v>
                </c:pt>
                <c:pt idx="4">
                  <c:v>160.99245182057399</c:v>
                </c:pt>
                <c:pt idx="5">
                  <c:v>193.83176392506093</c:v>
                </c:pt>
                <c:pt idx="6">
                  <c:v>221.5303158654057</c:v>
                </c:pt>
                <c:pt idx="7">
                  <c:v>246.22710461895844</c:v>
                </c:pt>
                <c:pt idx="8">
                  <c:v>269.3182469526547</c:v>
                </c:pt>
                <c:pt idx="9">
                  <c:v>291.46903292290955</c:v>
                </c:pt>
                <c:pt idx="10">
                  <c:v>312.50040432570552</c:v>
                </c:pt>
                <c:pt idx="11">
                  <c:v>331.30694075385713</c:v>
                </c:pt>
                <c:pt idx="12">
                  <c:v>349.3625168744752</c:v>
                </c:pt>
                <c:pt idx="13">
                  <c:v>379.88577300699808</c:v>
                </c:pt>
                <c:pt idx="14">
                  <c:v>395.40227833659708</c:v>
                </c:pt>
                <c:pt idx="15">
                  <c:v>399.94978439246631</c:v>
                </c:pt>
                <c:pt idx="16">
                  <c:v>402.4496352896619</c:v>
                </c:pt>
                <c:pt idx="17">
                  <c:v>411.54668017037142</c:v>
                </c:pt>
                <c:pt idx="18">
                  <c:v>421.67686793075165</c:v>
                </c:pt>
                <c:pt idx="19">
                  <c:v>422.62312958190137</c:v>
                </c:pt>
                <c:pt idx="20">
                  <c:v>422.62149927567521</c:v>
                </c:pt>
              </c:numCache>
            </c:numRef>
          </c:val>
          <c:extLst>
            <c:ext xmlns:c16="http://schemas.microsoft.com/office/drawing/2014/chart" uri="{C3380CC4-5D6E-409C-BE32-E72D297353CC}">
              <c16:uniqueId val="{00000001-B12D-4FEE-8BCC-80DA5D5CFE3B}"/>
            </c:ext>
          </c:extLst>
        </c:ser>
        <c:ser>
          <c:idx val="2"/>
          <c:order val="2"/>
          <c:tx>
            <c:strRef>
              <c:f>VP!$E$4</c:f>
              <c:strCache>
                <c:ptCount val="1"/>
                <c:pt idx="0">
                  <c:v>Væske/ vann</c:v>
                </c:pt>
              </c:strCache>
            </c:strRef>
          </c:tx>
          <c:spPr>
            <a:solidFill>
              <a:schemeClr val="accent3"/>
            </a:solidFill>
            <a:ln>
              <a:noFill/>
            </a:ln>
            <a:effectLst/>
          </c:spPr>
          <c:cat>
            <c:numRef>
              <c:f>VP!$B$5:$B$25</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VP!$E$5:$E$25</c:f>
              <c:numCache>
                <c:formatCode>_ * #\ ##0_ ;_ * \-#\ ##0_ ;_ * "-"??_ ;_ @_ </c:formatCode>
                <c:ptCount val="21"/>
                <c:pt idx="0">
                  <c:v>216.62553077823196</c:v>
                </c:pt>
                <c:pt idx="1">
                  <c:v>255.57580552007749</c:v>
                </c:pt>
                <c:pt idx="2">
                  <c:v>297.20256157512131</c:v>
                </c:pt>
                <c:pt idx="3">
                  <c:v>351.50362231426209</c:v>
                </c:pt>
                <c:pt idx="4">
                  <c:v>403.36226961517428</c:v>
                </c:pt>
                <c:pt idx="5">
                  <c:v>450.35841893480045</c:v>
                </c:pt>
                <c:pt idx="6">
                  <c:v>511.18068714611934</c:v>
                </c:pt>
                <c:pt idx="7">
                  <c:v>562.81622604449592</c:v>
                </c:pt>
                <c:pt idx="8">
                  <c:v>609.12526448130677</c:v>
                </c:pt>
                <c:pt idx="9">
                  <c:v>654.22059597541113</c:v>
                </c:pt>
                <c:pt idx="10">
                  <c:v>689.51491895981678</c:v>
                </c:pt>
                <c:pt idx="11">
                  <c:v>726.45585205803991</c:v>
                </c:pt>
                <c:pt idx="12">
                  <c:v>761.89134953490463</c:v>
                </c:pt>
                <c:pt idx="13">
                  <c:v>815.55737123217978</c:v>
                </c:pt>
                <c:pt idx="14">
                  <c:v>859.04448482936891</c:v>
                </c:pt>
                <c:pt idx="15">
                  <c:v>878.98381823531611</c:v>
                </c:pt>
                <c:pt idx="16">
                  <c:v>899.14751342137038</c:v>
                </c:pt>
                <c:pt idx="17">
                  <c:v>932.04264437231188</c:v>
                </c:pt>
                <c:pt idx="18">
                  <c:v>982.79237309361611</c:v>
                </c:pt>
                <c:pt idx="19">
                  <c:v>996.53435411530529</c:v>
                </c:pt>
                <c:pt idx="20">
                  <c:v>1007.3519468358892</c:v>
                </c:pt>
              </c:numCache>
            </c:numRef>
          </c:val>
          <c:extLst>
            <c:ext xmlns:c16="http://schemas.microsoft.com/office/drawing/2014/chart" uri="{C3380CC4-5D6E-409C-BE32-E72D297353CC}">
              <c16:uniqueId val="{00000002-B12D-4FEE-8BCC-80DA5D5CFE3B}"/>
            </c:ext>
          </c:extLst>
        </c:ser>
        <c:ser>
          <c:idx val="3"/>
          <c:order val="3"/>
          <c:tx>
            <c:strRef>
              <c:f>VP!$F$4</c:f>
              <c:strCache>
                <c:ptCount val="1"/>
                <c:pt idx="0">
                  <c:v>Ventilasjonsluft</c:v>
                </c:pt>
              </c:strCache>
            </c:strRef>
          </c:tx>
          <c:spPr>
            <a:solidFill>
              <a:schemeClr val="accent4"/>
            </a:solidFill>
            <a:ln>
              <a:noFill/>
            </a:ln>
            <a:effectLst/>
          </c:spPr>
          <c:cat>
            <c:numRef>
              <c:f>VP!$B$5:$B$25</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VP!$F$5:$F$25</c:f>
              <c:numCache>
                <c:formatCode>_ * #\ ##0_ ;_ * \-#\ ##0_ ;_ * "-"??_ ;_ @_ </c:formatCode>
                <c:ptCount val="21"/>
                <c:pt idx="0">
                  <c:v>45.298457769358201</c:v>
                </c:pt>
                <c:pt idx="1">
                  <c:v>46.515295156491845</c:v>
                </c:pt>
                <c:pt idx="2">
                  <c:v>50.376718091746852</c:v>
                </c:pt>
                <c:pt idx="3">
                  <c:v>52.860026941180237</c:v>
                </c:pt>
                <c:pt idx="4">
                  <c:v>54.587293919552152</c:v>
                </c:pt>
                <c:pt idx="5">
                  <c:v>53.930766737355476</c:v>
                </c:pt>
                <c:pt idx="6">
                  <c:v>54.813753143444501</c:v>
                </c:pt>
                <c:pt idx="7">
                  <c:v>54.513584376383911</c:v>
                </c:pt>
                <c:pt idx="8">
                  <c:v>55.265511077870393</c:v>
                </c:pt>
                <c:pt idx="9">
                  <c:v>56.403081206882078</c:v>
                </c:pt>
                <c:pt idx="10">
                  <c:v>61.906402522240448</c:v>
                </c:pt>
                <c:pt idx="11">
                  <c:v>68.323785988251743</c:v>
                </c:pt>
                <c:pt idx="12">
                  <c:v>81.333112669143105</c:v>
                </c:pt>
                <c:pt idx="13">
                  <c:v>87.465259782074114</c:v>
                </c:pt>
                <c:pt idx="14">
                  <c:v>91.286768073583659</c:v>
                </c:pt>
                <c:pt idx="15">
                  <c:v>93.771228236075189</c:v>
                </c:pt>
                <c:pt idx="16">
                  <c:v>97.973961859766405</c:v>
                </c:pt>
                <c:pt idx="17">
                  <c:v>105.40313454542635</c:v>
                </c:pt>
                <c:pt idx="18">
                  <c:v>110.32145716058481</c:v>
                </c:pt>
                <c:pt idx="19">
                  <c:v>112.72279245909735</c:v>
                </c:pt>
                <c:pt idx="20">
                  <c:v>114.94822247504629</c:v>
                </c:pt>
              </c:numCache>
            </c:numRef>
          </c:val>
          <c:extLst>
            <c:ext xmlns:c16="http://schemas.microsoft.com/office/drawing/2014/chart" uri="{C3380CC4-5D6E-409C-BE32-E72D297353CC}">
              <c16:uniqueId val="{00000003-B12D-4FEE-8BCC-80DA5D5CFE3B}"/>
            </c:ext>
          </c:extLst>
        </c:ser>
        <c:dLbls>
          <c:showLegendKey val="0"/>
          <c:showVal val="0"/>
          <c:showCatName val="0"/>
          <c:showSerName val="0"/>
          <c:showPercent val="0"/>
          <c:showBubbleSize val="0"/>
        </c:dLbls>
        <c:axId val="334335023"/>
        <c:axId val="334311023"/>
      </c:areaChart>
      <c:catAx>
        <c:axId val="33433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11023"/>
        <c:crosses val="autoZero"/>
        <c:auto val="1"/>
        <c:lblAlgn val="ctr"/>
        <c:lblOffset val="100"/>
        <c:noMultiLvlLbl val="0"/>
      </c:catAx>
      <c:valAx>
        <c:axId val="33431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Produsert</a:t>
                </a:r>
                <a:r>
                  <a:rPr lang="nb-NO" baseline="0"/>
                  <a:t> varme [GWh/år]</a:t>
                </a:r>
                <a:endParaRPr lang="nb-NO"/>
              </a:p>
            </c:rich>
          </c:tx>
          <c:layout>
            <c:manualLayout>
              <c:xMode val="edge"/>
              <c:yMode val="edge"/>
              <c:x val="1.1111111111111112E-2"/>
              <c:y val="0.135454943132108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350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77580927384078"/>
          <c:y val="5.0925925925925923E-2"/>
          <c:w val="0.80566863517060383"/>
          <c:h val="0.70218358121901425"/>
        </c:manualLayout>
      </c:layout>
      <c:areaChart>
        <c:grouping val="stacked"/>
        <c:varyColors val="0"/>
        <c:ser>
          <c:idx val="0"/>
          <c:order val="0"/>
          <c:tx>
            <c:strRef>
              <c:f>VP!$C$4</c:f>
              <c:strCache>
                <c:ptCount val="1"/>
                <c:pt idx="0">
                  <c:v>Luft/ luft</c:v>
                </c:pt>
              </c:strCache>
            </c:strRef>
          </c:tx>
          <c:spPr>
            <a:solidFill>
              <a:schemeClr val="accent1"/>
            </a:solidFill>
            <a:ln>
              <a:noFill/>
            </a:ln>
            <a:effectLst/>
          </c:spPr>
          <c:cat>
            <c:numRef>
              <c:f>VP!$B$15:$B$25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VP!$C$15:$C$25</c:f>
              <c:numCache>
                <c:formatCode>_ * #\ ##0_ ;_ * \-#\ ##0_ ;_ * "-"??_ ;_ @_ </c:formatCode>
                <c:ptCount val="11"/>
                <c:pt idx="0">
                  <c:v>6935.1493745515809</c:v>
                </c:pt>
                <c:pt idx="1">
                  <c:v>7287.3868946013126</c:v>
                </c:pt>
                <c:pt idx="2">
                  <c:v>7631.2917413780406</c:v>
                </c:pt>
                <c:pt idx="3">
                  <c:v>8085.265256262659</c:v>
                </c:pt>
                <c:pt idx="4">
                  <c:v>8551.6673910236805</c:v>
                </c:pt>
                <c:pt idx="5">
                  <c:v>8865.1788500153416</c:v>
                </c:pt>
                <c:pt idx="6">
                  <c:v>9434.6175527094474</c:v>
                </c:pt>
                <c:pt idx="7">
                  <c:v>10187.357987820793</c:v>
                </c:pt>
                <c:pt idx="8">
                  <c:v>10906</c:v>
                </c:pt>
                <c:pt idx="9">
                  <c:v>11484.614838653908</c:v>
                </c:pt>
                <c:pt idx="10">
                  <c:v>11945.273694608115</c:v>
                </c:pt>
              </c:numCache>
            </c:numRef>
          </c:val>
          <c:extLst>
            <c:ext xmlns:c16="http://schemas.microsoft.com/office/drawing/2014/chart" uri="{C3380CC4-5D6E-409C-BE32-E72D297353CC}">
              <c16:uniqueId val="{00000000-5772-41D9-89BE-CB6D13D47F65}"/>
            </c:ext>
          </c:extLst>
        </c:ser>
        <c:ser>
          <c:idx val="1"/>
          <c:order val="1"/>
          <c:tx>
            <c:strRef>
              <c:f>VP!$D$4</c:f>
              <c:strCache>
                <c:ptCount val="1"/>
                <c:pt idx="0">
                  <c:v>Luft/ vann</c:v>
                </c:pt>
              </c:strCache>
            </c:strRef>
          </c:tx>
          <c:spPr>
            <a:solidFill>
              <a:schemeClr val="accent2"/>
            </a:solidFill>
            <a:ln>
              <a:noFill/>
            </a:ln>
            <a:effectLst/>
          </c:spPr>
          <c:cat>
            <c:numRef>
              <c:f>VP!$B$15:$B$25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VP!$D$15:$D$25</c:f>
              <c:numCache>
                <c:formatCode>_ * #\ ##0_ ;_ * \-#\ ##0_ ;_ * "-"??_ ;_ @_ </c:formatCode>
                <c:ptCount val="11"/>
                <c:pt idx="0">
                  <c:v>312.50040432570552</c:v>
                </c:pt>
                <c:pt idx="1">
                  <c:v>331.30694075385713</c:v>
                </c:pt>
                <c:pt idx="2">
                  <c:v>349.3625168744752</c:v>
                </c:pt>
                <c:pt idx="3">
                  <c:v>379.88577300699808</c:v>
                </c:pt>
                <c:pt idx="4">
                  <c:v>395.40227833659708</c:v>
                </c:pt>
                <c:pt idx="5">
                  <c:v>399.94978439246631</c:v>
                </c:pt>
                <c:pt idx="6">
                  <c:v>402.4496352896619</c:v>
                </c:pt>
                <c:pt idx="7">
                  <c:v>411.54668017037142</c:v>
                </c:pt>
                <c:pt idx="8">
                  <c:v>421.67686793075165</c:v>
                </c:pt>
                <c:pt idx="9">
                  <c:v>422.62312958190137</c:v>
                </c:pt>
                <c:pt idx="10">
                  <c:v>422.62149927567521</c:v>
                </c:pt>
              </c:numCache>
            </c:numRef>
          </c:val>
          <c:extLst>
            <c:ext xmlns:c16="http://schemas.microsoft.com/office/drawing/2014/chart" uri="{C3380CC4-5D6E-409C-BE32-E72D297353CC}">
              <c16:uniqueId val="{00000001-5772-41D9-89BE-CB6D13D47F65}"/>
            </c:ext>
          </c:extLst>
        </c:ser>
        <c:ser>
          <c:idx val="2"/>
          <c:order val="2"/>
          <c:tx>
            <c:strRef>
              <c:f>VP!$E$4</c:f>
              <c:strCache>
                <c:ptCount val="1"/>
                <c:pt idx="0">
                  <c:v>Væske/ vann</c:v>
                </c:pt>
              </c:strCache>
            </c:strRef>
          </c:tx>
          <c:spPr>
            <a:solidFill>
              <a:schemeClr val="accent3"/>
            </a:solidFill>
            <a:ln>
              <a:noFill/>
            </a:ln>
            <a:effectLst/>
          </c:spPr>
          <c:cat>
            <c:numRef>
              <c:f>VP!$B$15:$B$25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VP!$E$15:$E$25</c:f>
              <c:numCache>
                <c:formatCode>_ * #\ ##0_ ;_ * \-#\ ##0_ ;_ * "-"??_ ;_ @_ </c:formatCode>
                <c:ptCount val="11"/>
                <c:pt idx="0">
                  <c:v>689.51491895981678</c:v>
                </c:pt>
                <c:pt idx="1">
                  <c:v>726.45585205803991</c:v>
                </c:pt>
                <c:pt idx="2">
                  <c:v>761.89134953490463</c:v>
                </c:pt>
                <c:pt idx="3">
                  <c:v>815.55737123217978</c:v>
                </c:pt>
                <c:pt idx="4">
                  <c:v>859.04448482936891</c:v>
                </c:pt>
                <c:pt idx="5">
                  <c:v>878.98381823531611</c:v>
                </c:pt>
                <c:pt idx="6">
                  <c:v>899.14751342137038</c:v>
                </c:pt>
                <c:pt idx="7">
                  <c:v>932.04264437231188</c:v>
                </c:pt>
                <c:pt idx="8">
                  <c:v>982.79237309361611</c:v>
                </c:pt>
                <c:pt idx="9">
                  <c:v>996.53435411530529</c:v>
                </c:pt>
                <c:pt idx="10">
                  <c:v>1007.3519468358892</c:v>
                </c:pt>
              </c:numCache>
            </c:numRef>
          </c:val>
          <c:extLst>
            <c:ext xmlns:c16="http://schemas.microsoft.com/office/drawing/2014/chart" uri="{C3380CC4-5D6E-409C-BE32-E72D297353CC}">
              <c16:uniqueId val="{00000002-5772-41D9-89BE-CB6D13D47F65}"/>
            </c:ext>
          </c:extLst>
        </c:ser>
        <c:ser>
          <c:idx val="3"/>
          <c:order val="3"/>
          <c:tx>
            <c:strRef>
              <c:f>VP!$F$4</c:f>
              <c:strCache>
                <c:ptCount val="1"/>
                <c:pt idx="0">
                  <c:v>Ventilasjonsluft</c:v>
                </c:pt>
              </c:strCache>
            </c:strRef>
          </c:tx>
          <c:spPr>
            <a:solidFill>
              <a:schemeClr val="accent4"/>
            </a:solidFill>
            <a:ln>
              <a:noFill/>
            </a:ln>
            <a:effectLst/>
          </c:spPr>
          <c:cat>
            <c:numRef>
              <c:f>VP!$B$15:$B$25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VP!$F$15:$F$25</c:f>
              <c:numCache>
                <c:formatCode>_ * #\ ##0_ ;_ * \-#\ ##0_ ;_ * "-"??_ ;_ @_ </c:formatCode>
                <c:ptCount val="11"/>
                <c:pt idx="0">
                  <c:v>61.906402522240448</c:v>
                </c:pt>
                <c:pt idx="1">
                  <c:v>68.323785988251743</c:v>
                </c:pt>
                <c:pt idx="2">
                  <c:v>81.333112669143105</c:v>
                </c:pt>
                <c:pt idx="3">
                  <c:v>87.465259782074114</c:v>
                </c:pt>
                <c:pt idx="4">
                  <c:v>91.286768073583659</c:v>
                </c:pt>
                <c:pt idx="5">
                  <c:v>93.771228236075189</c:v>
                </c:pt>
                <c:pt idx="6">
                  <c:v>97.973961859766405</c:v>
                </c:pt>
                <c:pt idx="7">
                  <c:v>105.40313454542635</c:v>
                </c:pt>
                <c:pt idx="8">
                  <c:v>110.32145716058481</c:v>
                </c:pt>
                <c:pt idx="9">
                  <c:v>112.72279245909735</c:v>
                </c:pt>
                <c:pt idx="10">
                  <c:v>114.94822247504629</c:v>
                </c:pt>
              </c:numCache>
            </c:numRef>
          </c:val>
          <c:extLst>
            <c:ext xmlns:c16="http://schemas.microsoft.com/office/drawing/2014/chart" uri="{C3380CC4-5D6E-409C-BE32-E72D297353CC}">
              <c16:uniqueId val="{00000003-5772-41D9-89BE-CB6D13D47F65}"/>
            </c:ext>
          </c:extLst>
        </c:ser>
        <c:dLbls>
          <c:showLegendKey val="0"/>
          <c:showVal val="0"/>
          <c:showCatName val="0"/>
          <c:showSerName val="0"/>
          <c:showPercent val="0"/>
          <c:showBubbleSize val="0"/>
        </c:dLbls>
        <c:axId val="334335023"/>
        <c:axId val="334311023"/>
      </c:areaChart>
      <c:catAx>
        <c:axId val="33433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11023"/>
        <c:crosses val="autoZero"/>
        <c:auto val="1"/>
        <c:lblAlgn val="ctr"/>
        <c:lblOffset val="100"/>
        <c:noMultiLvlLbl val="0"/>
      </c:catAx>
      <c:valAx>
        <c:axId val="33431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Produsert</a:t>
                </a:r>
                <a:r>
                  <a:rPr lang="nb-NO" baseline="0"/>
                  <a:t> varme [GWh/år]</a:t>
                </a:r>
                <a:endParaRPr lang="nb-NO"/>
              </a:p>
            </c:rich>
          </c:tx>
          <c:layout>
            <c:manualLayout>
              <c:xMode val="edge"/>
              <c:yMode val="edge"/>
              <c:x val="1.1111111111111112E-2"/>
              <c:y val="0.135454943132108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350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77580927384078"/>
          <c:y val="5.0925925925925923E-2"/>
          <c:w val="0.80566863517060383"/>
          <c:h val="0.70218358121901425"/>
        </c:manualLayout>
      </c:layout>
      <c:areaChart>
        <c:grouping val="stacked"/>
        <c:varyColors val="0"/>
        <c:ser>
          <c:idx val="0"/>
          <c:order val="0"/>
          <c:tx>
            <c:strRef>
              <c:f>VP!$C$4</c:f>
              <c:strCache>
                <c:ptCount val="1"/>
                <c:pt idx="0">
                  <c:v>Luft/ luft</c:v>
                </c:pt>
              </c:strCache>
            </c:strRef>
          </c:tx>
          <c:spPr>
            <a:solidFill>
              <a:schemeClr val="accent1"/>
            </a:solidFill>
            <a:ln>
              <a:noFill/>
            </a:ln>
            <a:effectLst/>
          </c:spPr>
          <c:cat>
            <c:numRef>
              <c:f>VP!$B$20:$B$25</c:f>
              <c:numCache>
                <c:formatCode>General</c:formatCode>
                <c:ptCount val="6"/>
                <c:pt idx="0">
                  <c:v>2020</c:v>
                </c:pt>
                <c:pt idx="1">
                  <c:v>2021</c:v>
                </c:pt>
                <c:pt idx="2">
                  <c:v>2022</c:v>
                </c:pt>
                <c:pt idx="3">
                  <c:v>2023</c:v>
                </c:pt>
                <c:pt idx="4">
                  <c:v>2024</c:v>
                </c:pt>
                <c:pt idx="5">
                  <c:v>2025</c:v>
                </c:pt>
              </c:numCache>
            </c:numRef>
          </c:cat>
          <c:val>
            <c:numRef>
              <c:f>VP!$C$20:$C$25</c:f>
              <c:numCache>
                <c:formatCode>_ * #\ ##0_ ;_ * \-#\ ##0_ ;_ * "-"??_ ;_ @_ </c:formatCode>
                <c:ptCount val="6"/>
                <c:pt idx="0">
                  <c:v>8865.1788500153416</c:v>
                </c:pt>
                <c:pt idx="1">
                  <c:v>9434.6175527094474</c:v>
                </c:pt>
                <c:pt idx="2">
                  <c:v>10187.357987820793</c:v>
                </c:pt>
                <c:pt idx="3">
                  <c:v>10906</c:v>
                </c:pt>
                <c:pt idx="4">
                  <c:v>11484.614838653908</c:v>
                </c:pt>
                <c:pt idx="5">
                  <c:v>11945.273694608115</c:v>
                </c:pt>
              </c:numCache>
            </c:numRef>
          </c:val>
          <c:extLst>
            <c:ext xmlns:c16="http://schemas.microsoft.com/office/drawing/2014/chart" uri="{C3380CC4-5D6E-409C-BE32-E72D297353CC}">
              <c16:uniqueId val="{00000000-B0D1-410A-9644-81E627CC96BA}"/>
            </c:ext>
          </c:extLst>
        </c:ser>
        <c:ser>
          <c:idx val="1"/>
          <c:order val="1"/>
          <c:tx>
            <c:strRef>
              <c:f>VP!$D$4</c:f>
              <c:strCache>
                <c:ptCount val="1"/>
                <c:pt idx="0">
                  <c:v>Luft/ vann</c:v>
                </c:pt>
              </c:strCache>
            </c:strRef>
          </c:tx>
          <c:spPr>
            <a:solidFill>
              <a:schemeClr val="accent2"/>
            </a:solidFill>
            <a:ln>
              <a:noFill/>
            </a:ln>
            <a:effectLst/>
          </c:spPr>
          <c:cat>
            <c:numRef>
              <c:f>VP!$B$20:$B$25</c:f>
              <c:numCache>
                <c:formatCode>General</c:formatCode>
                <c:ptCount val="6"/>
                <c:pt idx="0">
                  <c:v>2020</c:v>
                </c:pt>
                <c:pt idx="1">
                  <c:v>2021</c:v>
                </c:pt>
                <c:pt idx="2">
                  <c:v>2022</c:v>
                </c:pt>
                <c:pt idx="3">
                  <c:v>2023</c:v>
                </c:pt>
                <c:pt idx="4">
                  <c:v>2024</c:v>
                </c:pt>
                <c:pt idx="5">
                  <c:v>2025</c:v>
                </c:pt>
              </c:numCache>
            </c:numRef>
          </c:cat>
          <c:val>
            <c:numRef>
              <c:f>VP!$D$20:$D$25</c:f>
              <c:numCache>
                <c:formatCode>_ * #\ ##0_ ;_ * \-#\ ##0_ ;_ * "-"??_ ;_ @_ </c:formatCode>
                <c:ptCount val="6"/>
                <c:pt idx="0">
                  <c:v>399.94978439246631</c:v>
                </c:pt>
                <c:pt idx="1">
                  <c:v>402.4496352896619</c:v>
                </c:pt>
                <c:pt idx="2">
                  <c:v>411.54668017037142</c:v>
                </c:pt>
                <c:pt idx="3">
                  <c:v>421.67686793075165</c:v>
                </c:pt>
                <c:pt idx="4">
                  <c:v>422.62312958190137</c:v>
                </c:pt>
                <c:pt idx="5">
                  <c:v>422.62149927567521</c:v>
                </c:pt>
              </c:numCache>
            </c:numRef>
          </c:val>
          <c:extLst>
            <c:ext xmlns:c16="http://schemas.microsoft.com/office/drawing/2014/chart" uri="{C3380CC4-5D6E-409C-BE32-E72D297353CC}">
              <c16:uniqueId val="{00000001-B0D1-410A-9644-81E627CC96BA}"/>
            </c:ext>
          </c:extLst>
        </c:ser>
        <c:ser>
          <c:idx val="2"/>
          <c:order val="2"/>
          <c:tx>
            <c:strRef>
              <c:f>VP!$E$4</c:f>
              <c:strCache>
                <c:ptCount val="1"/>
                <c:pt idx="0">
                  <c:v>Væske/ vann</c:v>
                </c:pt>
              </c:strCache>
            </c:strRef>
          </c:tx>
          <c:spPr>
            <a:solidFill>
              <a:schemeClr val="accent3"/>
            </a:solidFill>
            <a:ln>
              <a:noFill/>
            </a:ln>
            <a:effectLst/>
          </c:spPr>
          <c:cat>
            <c:numRef>
              <c:f>VP!$B$20:$B$25</c:f>
              <c:numCache>
                <c:formatCode>General</c:formatCode>
                <c:ptCount val="6"/>
                <c:pt idx="0">
                  <c:v>2020</c:v>
                </c:pt>
                <c:pt idx="1">
                  <c:v>2021</c:v>
                </c:pt>
                <c:pt idx="2">
                  <c:v>2022</c:v>
                </c:pt>
                <c:pt idx="3">
                  <c:v>2023</c:v>
                </c:pt>
                <c:pt idx="4">
                  <c:v>2024</c:v>
                </c:pt>
                <c:pt idx="5">
                  <c:v>2025</c:v>
                </c:pt>
              </c:numCache>
            </c:numRef>
          </c:cat>
          <c:val>
            <c:numRef>
              <c:f>VP!$E$20:$E$25</c:f>
              <c:numCache>
                <c:formatCode>_ * #\ ##0_ ;_ * \-#\ ##0_ ;_ * "-"??_ ;_ @_ </c:formatCode>
                <c:ptCount val="6"/>
                <c:pt idx="0">
                  <c:v>878.98381823531611</c:v>
                </c:pt>
                <c:pt idx="1">
                  <c:v>899.14751342137038</c:v>
                </c:pt>
                <c:pt idx="2">
                  <c:v>932.04264437231188</c:v>
                </c:pt>
                <c:pt idx="3">
                  <c:v>982.79237309361611</c:v>
                </c:pt>
                <c:pt idx="4">
                  <c:v>996.53435411530529</c:v>
                </c:pt>
                <c:pt idx="5">
                  <c:v>1007.3519468358892</c:v>
                </c:pt>
              </c:numCache>
            </c:numRef>
          </c:val>
          <c:extLst>
            <c:ext xmlns:c16="http://schemas.microsoft.com/office/drawing/2014/chart" uri="{C3380CC4-5D6E-409C-BE32-E72D297353CC}">
              <c16:uniqueId val="{00000002-B0D1-410A-9644-81E627CC96BA}"/>
            </c:ext>
          </c:extLst>
        </c:ser>
        <c:ser>
          <c:idx val="3"/>
          <c:order val="3"/>
          <c:tx>
            <c:strRef>
              <c:f>VP!$F$4</c:f>
              <c:strCache>
                <c:ptCount val="1"/>
                <c:pt idx="0">
                  <c:v>Ventilasjonsluft</c:v>
                </c:pt>
              </c:strCache>
            </c:strRef>
          </c:tx>
          <c:spPr>
            <a:solidFill>
              <a:schemeClr val="accent4"/>
            </a:solidFill>
            <a:ln>
              <a:noFill/>
            </a:ln>
            <a:effectLst/>
          </c:spPr>
          <c:cat>
            <c:numRef>
              <c:f>VP!$B$20:$B$25</c:f>
              <c:numCache>
                <c:formatCode>General</c:formatCode>
                <c:ptCount val="6"/>
                <c:pt idx="0">
                  <c:v>2020</c:v>
                </c:pt>
                <c:pt idx="1">
                  <c:v>2021</c:v>
                </c:pt>
                <c:pt idx="2">
                  <c:v>2022</c:v>
                </c:pt>
                <c:pt idx="3">
                  <c:v>2023</c:v>
                </c:pt>
                <c:pt idx="4">
                  <c:v>2024</c:v>
                </c:pt>
                <c:pt idx="5">
                  <c:v>2025</c:v>
                </c:pt>
              </c:numCache>
            </c:numRef>
          </c:cat>
          <c:val>
            <c:numRef>
              <c:f>VP!$F$20:$F$25</c:f>
              <c:numCache>
                <c:formatCode>_ * #\ ##0_ ;_ * \-#\ ##0_ ;_ * "-"??_ ;_ @_ </c:formatCode>
                <c:ptCount val="6"/>
                <c:pt idx="0">
                  <c:v>93.771228236075189</c:v>
                </c:pt>
                <c:pt idx="1">
                  <c:v>97.973961859766405</c:v>
                </c:pt>
                <c:pt idx="2">
                  <c:v>105.40313454542635</c:v>
                </c:pt>
                <c:pt idx="3">
                  <c:v>110.32145716058481</c:v>
                </c:pt>
                <c:pt idx="4">
                  <c:v>112.72279245909735</c:v>
                </c:pt>
                <c:pt idx="5">
                  <c:v>114.94822247504629</c:v>
                </c:pt>
              </c:numCache>
            </c:numRef>
          </c:val>
          <c:extLst>
            <c:ext xmlns:c16="http://schemas.microsoft.com/office/drawing/2014/chart" uri="{C3380CC4-5D6E-409C-BE32-E72D297353CC}">
              <c16:uniqueId val="{00000003-B0D1-410A-9644-81E627CC96BA}"/>
            </c:ext>
          </c:extLst>
        </c:ser>
        <c:dLbls>
          <c:showLegendKey val="0"/>
          <c:showVal val="0"/>
          <c:showCatName val="0"/>
          <c:showSerName val="0"/>
          <c:showPercent val="0"/>
          <c:showBubbleSize val="0"/>
        </c:dLbls>
        <c:axId val="334335023"/>
        <c:axId val="334311023"/>
      </c:areaChart>
      <c:catAx>
        <c:axId val="33433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11023"/>
        <c:crosses val="autoZero"/>
        <c:auto val="1"/>
        <c:lblAlgn val="ctr"/>
        <c:lblOffset val="100"/>
        <c:noMultiLvlLbl val="0"/>
      </c:catAx>
      <c:valAx>
        <c:axId val="33431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Produsert</a:t>
                </a:r>
                <a:r>
                  <a:rPr lang="nb-NO" baseline="0"/>
                  <a:t> varme [GWh/år]</a:t>
                </a:r>
                <a:endParaRPr lang="nb-NO"/>
              </a:p>
            </c:rich>
          </c:tx>
          <c:layout>
            <c:manualLayout>
              <c:xMode val="edge"/>
              <c:yMode val="edge"/>
              <c:x val="1.1111111111111112E-2"/>
              <c:y val="0.135454943132108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350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77580927384078"/>
          <c:y val="5.0925925925925923E-2"/>
          <c:w val="0.80566863517060383"/>
          <c:h val="0.77162802566345878"/>
        </c:manualLayout>
      </c:layout>
      <c:lineChart>
        <c:grouping val="standard"/>
        <c:varyColors val="0"/>
        <c:ser>
          <c:idx val="0"/>
          <c:order val="0"/>
          <c:tx>
            <c:strRef>
              <c:f>VP!$H$4</c:f>
              <c:strCache>
                <c:ptCount val="1"/>
                <c:pt idx="0">
                  <c:v>SUM</c:v>
                </c:pt>
              </c:strCache>
            </c:strRef>
          </c:tx>
          <c:spPr>
            <a:ln w="28575" cap="rnd">
              <a:solidFill>
                <a:schemeClr val="accent1"/>
              </a:solidFill>
              <a:round/>
            </a:ln>
            <a:effectLst/>
          </c:spPr>
          <c:marker>
            <c:symbol val="none"/>
          </c:marker>
          <c:cat>
            <c:numRef>
              <c:f>VP!$B$5:$B$25</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VP!$H$5:$H$25</c:f>
              <c:numCache>
                <c:formatCode>_ * #\ ##0_ ;_ * \-#\ ##0_ ;_ * "-"??_ ;_ @_ </c:formatCode>
                <c:ptCount val="21"/>
                <c:pt idx="0">
                  <c:v>1661.2389740259241</c:v>
                </c:pt>
                <c:pt idx="1">
                  <c:v>2384.7071925145151</c:v>
                </c:pt>
                <c:pt idx="2">
                  <c:v>3046.0957377639706</c:v>
                </c:pt>
                <c:pt idx="3">
                  <c:v>3827.8026733827037</c:v>
                </c:pt>
                <c:pt idx="4">
                  <c:v>4584.7116100508765</c:v>
                </c:pt>
                <c:pt idx="5">
                  <c:v>5426.1399613304875</c:v>
                </c:pt>
                <c:pt idx="6">
                  <c:v>6189.160014706611</c:v>
                </c:pt>
                <c:pt idx="7">
                  <c:v>6743.8886919179422</c:v>
                </c:pt>
                <c:pt idx="8">
                  <c:v>7217.4554701673751</c:v>
                </c:pt>
                <c:pt idx="9">
                  <c:v>7600.3980164913964</c:v>
                </c:pt>
                <c:pt idx="10">
                  <c:v>7999.0711003593442</c:v>
                </c:pt>
                <c:pt idx="11">
                  <c:v>8413.4734734014619</c:v>
                </c:pt>
                <c:pt idx="12">
                  <c:v>8823.8787204565633</c:v>
                </c:pt>
                <c:pt idx="13">
                  <c:v>9368.1736602839119</c:v>
                </c:pt>
                <c:pt idx="14">
                  <c:v>9897.4009222632285</c:v>
                </c:pt>
                <c:pt idx="15">
                  <c:v>10237.883680879198</c:v>
                </c:pt>
                <c:pt idx="16">
                  <c:v>10834.188663280247</c:v>
                </c:pt>
                <c:pt idx="17">
                  <c:v>11636.350446908902</c:v>
                </c:pt>
                <c:pt idx="18">
                  <c:v>12420.790698184952</c:v>
                </c:pt>
                <c:pt idx="19">
                  <c:v>13016.495114810212</c:v>
                </c:pt>
                <c:pt idx="20">
                  <c:v>13490.195363194727</c:v>
                </c:pt>
              </c:numCache>
            </c:numRef>
          </c:val>
          <c:smooth val="0"/>
          <c:extLst>
            <c:ext xmlns:c16="http://schemas.microsoft.com/office/drawing/2014/chart" uri="{C3380CC4-5D6E-409C-BE32-E72D297353CC}">
              <c16:uniqueId val="{00000000-8924-439A-B4D8-6787FF0CE520}"/>
            </c:ext>
          </c:extLst>
        </c:ser>
        <c:dLbls>
          <c:showLegendKey val="0"/>
          <c:showVal val="0"/>
          <c:showCatName val="0"/>
          <c:showSerName val="0"/>
          <c:showPercent val="0"/>
          <c:showBubbleSize val="0"/>
        </c:dLbls>
        <c:smooth val="0"/>
        <c:axId val="334335023"/>
        <c:axId val="334311023"/>
      </c:lineChart>
      <c:catAx>
        <c:axId val="33433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11023"/>
        <c:crosses val="autoZero"/>
        <c:auto val="1"/>
        <c:lblAlgn val="ctr"/>
        <c:lblOffset val="100"/>
        <c:noMultiLvlLbl val="0"/>
      </c:catAx>
      <c:valAx>
        <c:axId val="33431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Produsert</a:t>
                </a:r>
                <a:r>
                  <a:rPr lang="nb-NO" baseline="0"/>
                  <a:t> varme [GWh/år]</a:t>
                </a:r>
                <a:endParaRPr lang="nb-NO"/>
              </a:p>
            </c:rich>
          </c:tx>
          <c:layout>
            <c:manualLayout>
              <c:xMode val="edge"/>
              <c:yMode val="edge"/>
              <c:x val="1.1111111111111112E-2"/>
              <c:y val="0.135454943132108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350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77580927384078"/>
          <c:y val="5.0925925925925923E-2"/>
          <c:w val="0.80566863517060383"/>
          <c:h val="0.77162802566345878"/>
        </c:manualLayout>
      </c:layout>
      <c:lineChart>
        <c:grouping val="standard"/>
        <c:varyColors val="0"/>
        <c:ser>
          <c:idx val="0"/>
          <c:order val="0"/>
          <c:tx>
            <c:strRef>
              <c:f>VP!$H$4</c:f>
              <c:strCache>
                <c:ptCount val="1"/>
                <c:pt idx="0">
                  <c:v>SUM</c:v>
                </c:pt>
              </c:strCache>
            </c:strRef>
          </c:tx>
          <c:spPr>
            <a:ln w="28575" cap="rnd">
              <a:solidFill>
                <a:schemeClr val="accent1"/>
              </a:solidFill>
              <a:round/>
            </a:ln>
            <a:effectLst/>
          </c:spPr>
          <c:marker>
            <c:symbol val="none"/>
          </c:marker>
          <c:cat>
            <c:numRef>
              <c:f>VP!$B$30:$B$49</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VP!$H$30:$H$49</c:f>
              <c:numCache>
                <c:formatCode>_ * #\ ##0_ ;_ * \-#\ ##0_ ;_ * "-"??_ ;_ @_ </c:formatCode>
                <c:ptCount val="20"/>
                <c:pt idx="0">
                  <c:v>1198.7335366036639</c:v>
                </c:pt>
                <c:pt idx="1">
                  <c:v>1498.9602788266966</c:v>
                </c:pt>
                <c:pt idx="2">
                  <c:v>1827.6490801671039</c:v>
                </c:pt>
                <c:pt idx="3">
                  <c:v>2228.4376967559597</c:v>
                </c:pt>
                <c:pt idx="4">
                  <c:v>2615.7391015325825</c:v>
                </c:pt>
                <c:pt idx="5">
                  <c:v>3008.4052052609914</c:v>
                </c:pt>
                <c:pt idx="6">
                  <c:v>3413.092895799457</c:v>
                </c:pt>
                <c:pt idx="7">
                  <c:v>3735.1275692577024</c:v>
                </c:pt>
                <c:pt idx="8">
                  <c:v>4027.6879620115578</c:v>
                </c:pt>
                <c:pt idx="9">
                  <c:v>4303.0045679702826</c:v>
                </c:pt>
                <c:pt idx="10">
                  <c:v>4557.1488230226396</c:v>
                </c:pt>
                <c:pt idx="11">
                  <c:v>4814.9291327070241</c:v>
                </c:pt>
                <c:pt idx="12">
                  <c:v>5082.9531241703671</c:v>
                </c:pt>
                <c:pt idx="13">
                  <c:v>5441.180219075517</c:v>
                </c:pt>
                <c:pt idx="14">
                  <c:v>5718.0165114927277</c:v>
                </c:pt>
                <c:pt idx="15">
                  <c:v>5859.3235758844903</c:v>
                </c:pt>
                <c:pt idx="16">
                  <c:v>6038.1366133802649</c:v>
                </c:pt>
                <c:pt idx="17">
                  <c:v>6316.0039259663399</c:v>
                </c:pt>
                <c:pt idx="18">
                  <c:v>6645.9532113550622</c:v>
                </c:pt>
                <c:pt idx="19">
                  <c:v>6794.0020109531933</c:v>
                </c:pt>
              </c:numCache>
            </c:numRef>
          </c:val>
          <c:smooth val="0"/>
          <c:extLst>
            <c:ext xmlns:c16="http://schemas.microsoft.com/office/drawing/2014/chart" uri="{C3380CC4-5D6E-409C-BE32-E72D297353CC}">
              <c16:uniqueId val="{00000000-CE2A-4D4A-8958-217B1AE30665}"/>
            </c:ext>
          </c:extLst>
        </c:ser>
        <c:dLbls>
          <c:showLegendKey val="0"/>
          <c:showVal val="0"/>
          <c:showCatName val="0"/>
          <c:showSerName val="0"/>
          <c:showPercent val="0"/>
          <c:showBubbleSize val="0"/>
        </c:dLbls>
        <c:smooth val="0"/>
        <c:axId val="334335023"/>
        <c:axId val="334311023"/>
      </c:lineChart>
      <c:catAx>
        <c:axId val="33433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11023"/>
        <c:crosses val="autoZero"/>
        <c:auto val="1"/>
        <c:lblAlgn val="ctr"/>
        <c:lblOffset val="100"/>
        <c:noMultiLvlLbl val="0"/>
      </c:catAx>
      <c:valAx>
        <c:axId val="33431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Produsert</a:t>
                </a:r>
                <a:r>
                  <a:rPr lang="nb-NO" baseline="0"/>
                  <a:t> varme [GWh/år]</a:t>
                </a:r>
                <a:endParaRPr lang="nb-NO"/>
              </a:p>
            </c:rich>
          </c:tx>
          <c:layout>
            <c:manualLayout>
              <c:xMode val="edge"/>
              <c:yMode val="edge"/>
              <c:x val="1.1111111111111112E-2"/>
              <c:y val="0.135454943132108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343350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none"/>
          </c:marker>
          <c:cat>
            <c:strRef>
              <c:f>FV!$B$5:$B$24</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FV!$C$5:$C$24</c:f>
              <c:numCache>
                <c:formatCode>#,##0</c:formatCode>
                <c:ptCount val="20"/>
                <c:pt idx="0">
                  <c:v>427</c:v>
                </c:pt>
                <c:pt idx="1">
                  <c:v>502</c:v>
                </c:pt>
                <c:pt idx="2">
                  <c:v>568</c:v>
                </c:pt>
                <c:pt idx="3">
                  <c:v>718</c:v>
                </c:pt>
                <c:pt idx="4">
                  <c:v>751</c:v>
                </c:pt>
                <c:pt idx="5">
                  <c:v>1084</c:v>
                </c:pt>
                <c:pt idx="6">
                  <c:v>788</c:v>
                </c:pt>
                <c:pt idx="7">
                  <c:v>950</c:v>
                </c:pt>
                <c:pt idx="8">
                  <c:v>1083</c:v>
                </c:pt>
                <c:pt idx="9">
                  <c:v>1000</c:v>
                </c:pt>
                <c:pt idx="10">
                  <c:v>1037</c:v>
                </c:pt>
                <c:pt idx="11">
                  <c:v>1212</c:v>
                </c:pt>
                <c:pt idx="12">
                  <c:v>1365</c:v>
                </c:pt>
                <c:pt idx="13">
                  <c:v>1408</c:v>
                </c:pt>
                <c:pt idx="14">
                  <c:v>1548</c:v>
                </c:pt>
                <c:pt idx="15">
                  <c:v>1467</c:v>
                </c:pt>
                <c:pt idx="16">
                  <c:v>1716</c:v>
                </c:pt>
                <c:pt idx="17">
                  <c:v>1652</c:v>
                </c:pt>
                <c:pt idx="18">
                  <c:v>1925</c:v>
                </c:pt>
                <c:pt idx="19">
                  <c:v>1855</c:v>
                </c:pt>
              </c:numCache>
            </c:numRef>
          </c:val>
          <c:smooth val="0"/>
          <c:extLst>
            <c:ext xmlns:c16="http://schemas.microsoft.com/office/drawing/2014/chart" uri="{C3380CC4-5D6E-409C-BE32-E72D297353CC}">
              <c16:uniqueId val="{00000000-46F1-4FCF-AD6C-97EB8EDF218D}"/>
            </c:ext>
          </c:extLst>
        </c:ser>
        <c:ser>
          <c:idx val="1"/>
          <c:order val="1"/>
          <c:spPr>
            <a:ln w="28575" cap="rnd">
              <a:solidFill>
                <a:schemeClr val="accent1"/>
              </a:solidFill>
              <a:round/>
            </a:ln>
            <a:effectLst/>
          </c:spPr>
          <c:marker>
            <c:symbol val="none"/>
          </c:marker>
          <c:trendline>
            <c:spPr>
              <a:ln w="19050" cap="rnd">
                <a:solidFill>
                  <a:schemeClr val="accent2"/>
                </a:solidFill>
                <a:prstDash val="sysDot"/>
              </a:ln>
              <a:effectLst/>
            </c:spPr>
            <c:trendlineType val="linear"/>
            <c:forward val="1"/>
            <c:dispRSqr val="1"/>
            <c:dispEq val="1"/>
            <c:trendlineLbl>
              <c:layout>
                <c:manualLayout>
                  <c:x val="1.3383639545056867E-3"/>
                  <c:y val="-8.114938757655293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trendlineLbl>
          </c:trendline>
          <c:cat>
            <c:strRef>
              <c:f>FV!$B$5:$B$24</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FV!$E$5:$E$24</c:f>
              <c:numCache>
                <c:formatCode>#,##0</c:formatCode>
                <c:ptCount val="20"/>
                <c:pt idx="0">
                  <c:v>439.74443418774467</c:v>
                </c:pt>
                <c:pt idx="1">
                  <c:v>528.53623440828733</c:v>
                </c:pt>
                <c:pt idx="2">
                  <c:v>579.0204118506233</c:v>
                </c:pt>
                <c:pt idx="3">
                  <c:v>740.86858648389307</c:v>
                </c:pt>
                <c:pt idx="4">
                  <c:v>746.18890355645306</c:v>
                </c:pt>
                <c:pt idx="5">
                  <c:v>946.12660105075599</c:v>
                </c:pt>
                <c:pt idx="6">
                  <c:v>828.48403211176606</c:v>
                </c:pt>
                <c:pt idx="7">
                  <c:v>921.82416243067598</c:v>
                </c:pt>
                <c:pt idx="8">
                  <c:v>1071.2213446937822</c:v>
                </c:pt>
                <c:pt idx="9">
                  <c:v>1105.3602889179024</c:v>
                </c:pt>
                <c:pt idx="10">
                  <c:v>1107.7000946084486</c:v>
                </c:pt>
                <c:pt idx="11">
                  <c:v>1247.6686660121188</c:v>
                </c:pt>
                <c:pt idx="12">
                  <c:v>1395.4228405837823</c:v>
                </c:pt>
                <c:pt idx="13">
                  <c:v>1442.1821038634966</c:v>
                </c:pt>
                <c:pt idx="14">
                  <c:v>1587.3964693393614</c:v>
                </c:pt>
                <c:pt idx="15">
                  <c:v>1644.0130795576872</c:v>
                </c:pt>
                <c:pt idx="16">
                  <c:v>1732.0248349102835</c:v>
                </c:pt>
                <c:pt idx="17">
                  <c:v>1759.1348757994631</c:v>
                </c:pt>
                <c:pt idx="18">
                  <c:v>1926.5465601772275</c:v>
                </c:pt>
                <c:pt idx="19">
                  <c:v>1984.0181945330669</c:v>
                </c:pt>
              </c:numCache>
            </c:numRef>
          </c:val>
          <c:smooth val="0"/>
          <c:extLst>
            <c:ext xmlns:c16="http://schemas.microsoft.com/office/drawing/2014/chart" uri="{C3380CC4-5D6E-409C-BE32-E72D297353CC}">
              <c16:uniqueId val="{00000001-46F1-4FCF-AD6C-97EB8EDF218D}"/>
            </c:ext>
          </c:extLst>
        </c:ser>
        <c:dLbls>
          <c:showLegendKey val="0"/>
          <c:showVal val="0"/>
          <c:showCatName val="0"/>
          <c:showSerName val="0"/>
          <c:showPercent val="0"/>
          <c:showBubbleSize val="0"/>
        </c:dLbls>
        <c:smooth val="0"/>
        <c:axId val="721709887"/>
        <c:axId val="721701727"/>
      </c:lineChart>
      <c:catAx>
        <c:axId val="72170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21701727"/>
        <c:crosses val="autoZero"/>
        <c:auto val="1"/>
        <c:lblAlgn val="ctr"/>
        <c:lblOffset val="100"/>
        <c:noMultiLvlLbl val="0"/>
      </c:catAx>
      <c:valAx>
        <c:axId val="721701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[GWh/år]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21709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none"/>
          </c:marker>
          <c:cat>
            <c:strRef>
              <c:f>FV!$B$20:$B$24</c:f>
              <c:strCache>
                <c:ptCount val="5"/>
                <c:pt idx="0">
                  <c:v>2020</c:v>
                </c:pt>
                <c:pt idx="1">
                  <c:v>2021</c:v>
                </c:pt>
                <c:pt idx="2">
                  <c:v>2022</c:v>
                </c:pt>
                <c:pt idx="3">
                  <c:v>2023</c:v>
                </c:pt>
                <c:pt idx="4">
                  <c:v>2024</c:v>
                </c:pt>
              </c:strCache>
            </c:strRef>
          </c:cat>
          <c:val>
            <c:numRef>
              <c:f>FV!$C$20:$C$24</c:f>
              <c:numCache>
                <c:formatCode>#,##0</c:formatCode>
                <c:ptCount val="5"/>
                <c:pt idx="0">
                  <c:v>1467</c:v>
                </c:pt>
                <c:pt idx="1">
                  <c:v>1716</c:v>
                </c:pt>
                <c:pt idx="2">
                  <c:v>1652</c:v>
                </c:pt>
                <c:pt idx="3">
                  <c:v>1925</c:v>
                </c:pt>
                <c:pt idx="4">
                  <c:v>1855</c:v>
                </c:pt>
              </c:numCache>
            </c:numRef>
          </c:val>
          <c:smooth val="0"/>
          <c:extLst>
            <c:ext xmlns:c16="http://schemas.microsoft.com/office/drawing/2014/chart" uri="{C3380CC4-5D6E-409C-BE32-E72D297353CC}">
              <c16:uniqueId val="{00000000-8DA5-47DE-B543-BD8063BC1E47}"/>
            </c:ext>
          </c:extLst>
        </c:ser>
        <c:ser>
          <c:idx val="1"/>
          <c:order val="1"/>
          <c:spPr>
            <a:ln w="28575" cap="rnd">
              <a:solidFill>
                <a:schemeClr val="accent1"/>
              </a:solidFill>
              <a:round/>
            </a:ln>
            <a:effectLst/>
          </c:spPr>
          <c:marker>
            <c:symbol val="none"/>
          </c:marker>
          <c:trendline>
            <c:spPr>
              <a:ln w="19050" cap="rnd">
                <a:solidFill>
                  <a:schemeClr val="accent2"/>
                </a:solidFill>
                <a:prstDash val="sysDot"/>
              </a:ln>
              <a:effectLst/>
            </c:spPr>
            <c:trendlineType val="linear"/>
            <c:forward val="1"/>
            <c:dispRSqr val="1"/>
            <c:dispEq val="1"/>
            <c:trendlineLbl>
              <c:layout>
                <c:manualLayout>
                  <c:x val="-1.2381889763779528E-3"/>
                  <c:y val="-0.1127045056867891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trendlineLbl>
          </c:trendline>
          <c:cat>
            <c:strRef>
              <c:f>FV!$B$20:$B$24</c:f>
              <c:strCache>
                <c:ptCount val="5"/>
                <c:pt idx="0">
                  <c:v>2020</c:v>
                </c:pt>
                <c:pt idx="1">
                  <c:v>2021</c:v>
                </c:pt>
                <c:pt idx="2">
                  <c:v>2022</c:v>
                </c:pt>
                <c:pt idx="3">
                  <c:v>2023</c:v>
                </c:pt>
                <c:pt idx="4">
                  <c:v>2024</c:v>
                </c:pt>
              </c:strCache>
            </c:strRef>
          </c:cat>
          <c:val>
            <c:numRef>
              <c:f>FV!$E$20:$E$24</c:f>
              <c:numCache>
                <c:formatCode>#,##0</c:formatCode>
                <c:ptCount val="5"/>
                <c:pt idx="0">
                  <c:v>1644.0130795576872</c:v>
                </c:pt>
                <c:pt idx="1">
                  <c:v>1732.0248349102835</c:v>
                </c:pt>
                <c:pt idx="2">
                  <c:v>1759.1348757994631</c:v>
                </c:pt>
                <c:pt idx="3">
                  <c:v>1926.5465601772275</c:v>
                </c:pt>
                <c:pt idx="4">
                  <c:v>1984.0181945330669</c:v>
                </c:pt>
              </c:numCache>
            </c:numRef>
          </c:val>
          <c:smooth val="0"/>
          <c:extLst>
            <c:ext xmlns:c16="http://schemas.microsoft.com/office/drawing/2014/chart" uri="{C3380CC4-5D6E-409C-BE32-E72D297353CC}">
              <c16:uniqueId val="{00000001-8DA5-47DE-B543-BD8063BC1E47}"/>
            </c:ext>
          </c:extLst>
        </c:ser>
        <c:dLbls>
          <c:showLegendKey val="0"/>
          <c:showVal val="0"/>
          <c:showCatName val="0"/>
          <c:showSerName val="0"/>
          <c:showPercent val="0"/>
          <c:showBubbleSize val="0"/>
        </c:dLbls>
        <c:smooth val="0"/>
        <c:axId val="721709887"/>
        <c:axId val="721701727"/>
      </c:lineChart>
      <c:catAx>
        <c:axId val="72170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21701727"/>
        <c:crosses val="autoZero"/>
        <c:auto val="1"/>
        <c:lblAlgn val="ctr"/>
        <c:lblOffset val="100"/>
        <c:noMultiLvlLbl val="0"/>
      </c:catAx>
      <c:valAx>
        <c:axId val="721701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[GWh/år]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21709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23381452318459"/>
          <c:y val="5.0925925925925923E-2"/>
          <c:w val="0.70590682414698158"/>
          <c:h val="0.81389690871974341"/>
        </c:manualLayout>
      </c:layout>
      <c:lineChart>
        <c:grouping val="standard"/>
        <c:varyColors val="0"/>
        <c:ser>
          <c:idx val="0"/>
          <c:order val="0"/>
          <c:tx>
            <c:strRef>
              <c:f>FV!$E$4</c:f>
              <c:strCache>
                <c:ptCount val="1"/>
                <c:pt idx="0">
                  <c:v>Tempkorr</c:v>
                </c:pt>
              </c:strCache>
            </c:strRef>
          </c:tx>
          <c:spPr>
            <a:ln w="28575" cap="rnd">
              <a:solidFill>
                <a:schemeClr val="accent1"/>
              </a:solidFill>
              <a:round/>
            </a:ln>
            <a:effectLst/>
          </c:spPr>
          <c:marker>
            <c:symbol val="none"/>
          </c:marker>
          <c:cat>
            <c:strRef>
              <c:f>FV!$B$5:$B$24</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FV!$E$5:$E$24</c:f>
              <c:numCache>
                <c:formatCode>#,##0</c:formatCode>
                <c:ptCount val="20"/>
                <c:pt idx="0">
                  <c:v>439.74443418774467</c:v>
                </c:pt>
                <c:pt idx="1">
                  <c:v>528.53623440828733</c:v>
                </c:pt>
                <c:pt idx="2">
                  <c:v>579.0204118506233</c:v>
                </c:pt>
                <c:pt idx="3">
                  <c:v>740.86858648389307</c:v>
                </c:pt>
                <c:pt idx="4">
                  <c:v>746.18890355645306</c:v>
                </c:pt>
                <c:pt idx="5">
                  <c:v>946.12660105075599</c:v>
                </c:pt>
                <c:pt idx="6">
                  <c:v>828.48403211176606</c:v>
                </c:pt>
                <c:pt idx="7">
                  <c:v>921.82416243067598</c:v>
                </c:pt>
                <c:pt idx="8">
                  <c:v>1071.2213446937822</c:v>
                </c:pt>
                <c:pt idx="9">
                  <c:v>1105.3602889179024</c:v>
                </c:pt>
                <c:pt idx="10">
                  <c:v>1107.7000946084486</c:v>
                </c:pt>
                <c:pt idx="11">
                  <c:v>1247.6686660121188</c:v>
                </c:pt>
                <c:pt idx="12">
                  <c:v>1395.4228405837823</c:v>
                </c:pt>
                <c:pt idx="13">
                  <c:v>1442.1821038634966</c:v>
                </c:pt>
                <c:pt idx="14">
                  <c:v>1587.3964693393614</c:v>
                </c:pt>
                <c:pt idx="15">
                  <c:v>1644.0130795576872</c:v>
                </c:pt>
                <c:pt idx="16">
                  <c:v>1732.0248349102835</c:v>
                </c:pt>
                <c:pt idx="17">
                  <c:v>1759.1348757994631</c:v>
                </c:pt>
                <c:pt idx="18">
                  <c:v>1926.5465601772275</c:v>
                </c:pt>
                <c:pt idx="19">
                  <c:v>1984.0181945330669</c:v>
                </c:pt>
              </c:numCache>
            </c:numRef>
          </c:val>
          <c:smooth val="0"/>
          <c:extLst>
            <c:ext xmlns:c16="http://schemas.microsoft.com/office/drawing/2014/chart" uri="{C3380CC4-5D6E-409C-BE32-E72D297353CC}">
              <c16:uniqueId val="{00000000-CEB8-454E-85CE-1C42516EFAA6}"/>
            </c:ext>
          </c:extLst>
        </c:ser>
        <c:dLbls>
          <c:showLegendKey val="0"/>
          <c:showVal val="0"/>
          <c:showCatName val="0"/>
          <c:showSerName val="0"/>
          <c:showPercent val="0"/>
          <c:showBubbleSize val="0"/>
        </c:dLbls>
        <c:marker val="1"/>
        <c:smooth val="0"/>
        <c:axId val="718284527"/>
        <c:axId val="718286447"/>
      </c:lineChart>
      <c:lineChart>
        <c:grouping val="standard"/>
        <c:varyColors val="0"/>
        <c:ser>
          <c:idx val="1"/>
          <c:order val="1"/>
          <c:tx>
            <c:v>Antall leiligheter</c:v>
          </c:tx>
          <c:spPr>
            <a:ln w="28575" cap="rnd">
              <a:solidFill>
                <a:schemeClr val="accent2"/>
              </a:solidFill>
              <a:round/>
            </a:ln>
            <a:effectLst/>
          </c:spPr>
          <c:marker>
            <c:symbol val="none"/>
          </c:marker>
          <c:val>
            <c:numRef>
              <c:f>FV!$C$28:$C$47</c:f>
              <c:numCache>
                <c:formatCode>#,##0</c:formatCode>
                <c:ptCount val="20"/>
                <c:pt idx="1">
                  <c:v>463172</c:v>
                </c:pt>
                <c:pt idx="2">
                  <c:v>478293</c:v>
                </c:pt>
                <c:pt idx="3">
                  <c:v>498592</c:v>
                </c:pt>
                <c:pt idx="4">
                  <c:v>514481</c:v>
                </c:pt>
                <c:pt idx="5">
                  <c:v>522992</c:v>
                </c:pt>
                <c:pt idx="6">
                  <c:v>529453</c:v>
                </c:pt>
                <c:pt idx="7">
                  <c:v>535509</c:v>
                </c:pt>
                <c:pt idx="8">
                  <c:v>548358</c:v>
                </c:pt>
                <c:pt idx="9">
                  <c:v>560173</c:v>
                </c:pt>
                <c:pt idx="10">
                  <c:v>572914</c:v>
                </c:pt>
                <c:pt idx="11">
                  <c:v>585679</c:v>
                </c:pt>
                <c:pt idx="12">
                  <c:v>598020</c:v>
                </c:pt>
                <c:pt idx="13">
                  <c:v>610742</c:v>
                </c:pt>
                <c:pt idx="14">
                  <c:v>628145</c:v>
                </c:pt>
                <c:pt idx="15">
                  <c:v>643631</c:v>
                </c:pt>
                <c:pt idx="16">
                  <c:v>655867</c:v>
                </c:pt>
                <c:pt idx="17">
                  <c:v>671124</c:v>
                </c:pt>
                <c:pt idx="18">
                  <c:v>686238</c:v>
                </c:pt>
                <c:pt idx="19">
                  <c:v>702866</c:v>
                </c:pt>
              </c:numCache>
            </c:numRef>
          </c:val>
          <c:smooth val="0"/>
          <c:extLst>
            <c:ext xmlns:c16="http://schemas.microsoft.com/office/drawing/2014/chart" uri="{C3380CC4-5D6E-409C-BE32-E72D297353CC}">
              <c16:uniqueId val="{00000001-CEB8-454E-85CE-1C42516EFAA6}"/>
            </c:ext>
          </c:extLst>
        </c:ser>
        <c:dLbls>
          <c:showLegendKey val="0"/>
          <c:showVal val="0"/>
          <c:showCatName val="0"/>
          <c:showSerName val="0"/>
          <c:showPercent val="0"/>
          <c:showBubbleSize val="0"/>
        </c:dLbls>
        <c:marker val="1"/>
        <c:smooth val="0"/>
        <c:axId val="718321007"/>
        <c:axId val="718326287"/>
      </c:lineChart>
      <c:catAx>
        <c:axId val="71828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18286447"/>
        <c:crosses val="autoZero"/>
        <c:auto val="1"/>
        <c:lblAlgn val="ctr"/>
        <c:lblOffset val="100"/>
        <c:noMultiLvlLbl val="0"/>
      </c:catAx>
      <c:valAx>
        <c:axId val="718286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Levert fjernvarme [GWh/år]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18284527"/>
        <c:crosses val="autoZero"/>
        <c:crossBetween val="between"/>
      </c:valAx>
      <c:valAx>
        <c:axId val="7183262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Antall boliger i boligblokk</a:t>
                </a:r>
              </a:p>
            </c:rich>
          </c:tx>
          <c:layout>
            <c:manualLayout>
              <c:xMode val="edge"/>
              <c:yMode val="edge"/>
              <c:x val="0.9540548993875767"/>
              <c:y val="0.21048993875765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18321007"/>
        <c:crosses val="max"/>
        <c:crossBetween val="between"/>
      </c:valAx>
      <c:catAx>
        <c:axId val="718321007"/>
        <c:scaling>
          <c:orientation val="minMax"/>
        </c:scaling>
        <c:delete val="1"/>
        <c:axPos val="b"/>
        <c:majorTickMark val="out"/>
        <c:minorTickMark val="none"/>
        <c:tickLblPos val="nextTo"/>
        <c:crossAx val="718326287"/>
        <c:crosses val="autoZero"/>
        <c:auto val="1"/>
        <c:lblAlgn val="ctr"/>
        <c:lblOffset val="100"/>
        <c:noMultiLvlLbl val="0"/>
      </c:catAx>
      <c:spPr>
        <a:noFill/>
        <a:ln>
          <a:noFill/>
        </a:ln>
        <a:effectLst/>
      </c:spPr>
    </c:plotArea>
    <c:legend>
      <c:legendPos val="r"/>
      <c:layout>
        <c:manualLayout>
          <c:xMode val="edge"/>
          <c:yMode val="edge"/>
          <c:x val="0.1318326771653543"/>
          <c:y val="0.77372630504520268"/>
          <c:w val="0.52927843394575669"/>
          <c:h val="8.21770195392242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none"/>
          </c:marker>
          <c:cat>
            <c:strRef>
              <c:f>FV!$B$15:$B$24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FV!$C$15:$C$24</c:f>
              <c:numCache>
                <c:formatCode>#,##0</c:formatCode>
                <c:ptCount val="10"/>
                <c:pt idx="0">
                  <c:v>1037</c:v>
                </c:pt>
                <c:pt idx="1">
                  <c:v>1212</c:v>
                </c:pt>
                <c:pt idx="2">
                  <c:v>1365</c:v>
                </c:pt>
                <c:pt idx="3">
                  <c:v>1408</c:v>
                </c:pt>
                <c:pt idx="4">
                  <c:v>1548</c:v>
                </c:pt>
                <c:pt idx="5">
                  <c:v>1467</c:v>
                </c:pt>
                <c:pt idx="6">
                  <c:v>1716</c:v>
                </c:pt>
                <c:pt idx="7">
                  <c:v>1652</c:v>
                </c:pt>
                <c:pt idx="8">
                  <c:v>1925</c:v>
                </c:pt>
                <c:pt idx="9">
                  <c:v>1855</c:v>
                </c:pt>
              </c:numCache>
            </c:numRef>
          </c:val>
          <c:smooth val="0"/>
          <c:extLst>
            <c:ext xmlns:c16="http://schemas.microsoft.com/office/drawing/2014/chart" uri="{C3380CC4-5D6E-409C-BE32-E72D297353CC}">
              <c16:uniqueId val="{00000000-412A-4F04-911C-244F0D53A468}"/>
            </c:ext>
          </c:extLst>
        </c:ser>
        <c:ser>
          <c:idx val="1"/>
          <c:order val="1"/>
          <c:spPr>
            <a:ln w="28575" cap="rnd">
              <a:solidFill>
                <a:schemeClr val="accent1"/>
              </a:solidFill>
              <a:round/>
            </a:ln>
            <a:effectLst/>
          </c:spPr>
          <c:marker>
            <c:symbol val="none"/>
          </c:marker>
          <c:trendline>
            <c:spPr>
              <a:ln w="19050" cap="rnd">
                <a:solidFill>
                  <a:schemeClr val="accent2"/>
                </a:solidFill>
                <a:prstDash val="sysDot"/>
              </a:ln>
              <a:effectLst/>
            </c:spPr>
            <c:trendlineType val="linear"/>
            <c:forward val="1"/>
            <c:dispRSqr val="1"/>
            <c:dispEq val="1"/>
            <c:trendlineLbl>
              <c:layout>
                <c:manualLayout>
                  <c:x val="1.3383639545056867E-3"/>
                  <c:y val="-8.114938757655293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trendlineLbl>
          </c:trendline>
          <c:cat>
            <c:strRef>
              <c:f>FV!$B$15:$B$24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FV!$E$15:$E$24</c:f>
              <c:numCache>
                <c:formatCode>#,##0</c:formatCode>
                <c:ptCount val="10"/>
                <c:pt idx="0">
                  <c:v>1107.7000946084486</c:v>
                </c:pt>
                <c:pt idx="1">
                  <c:v>1247.6686660121188</c:v>
                </c:pt>
                <c:pt idx="2">
                  <c:v>1395.4228405837823</c:v>
                </c:pt>
                <c:pt idx="3">
                  <c:v>1442.1821038634966</c:v>
                </c:pt>
                <c:pt idx="4">
                  <c:v>1587.3964693393614</c:v>
                </c:pt>
                <c:pt idx="5">
                  <c:v>1644.0130795576872</c:v>
                </c:pt>
                <c:pt idx="6">
                  <c:v>1732.0248349102835</c:v>
                </c:pt>
                <c:pt idx="7">
                  <c:v>1759.1348757994631</c:v>
                </c:pt>
                <c:pt idx="8">
                  <c:v>1926.5465601772275</c:v>
                </c:pt>
                <c:pt idx="9">
                  <c:v>1984.0181945330669</c:v>
                </c:pt>
              </c:numCache>
            </c:numRef>
          </c:val>
          <c:smooth val="0"/>
          <c:extLst>
            <c:ext xmlns:c16="http://schemas.microsoft.com/office/drawing/2014/chart" uri="{C3380CC4-5D6E-409C-BE32-E72D297353CC}">
              <c16:uniqueId val="{00000002-412A-4F04-911C-244F0D53A468}"/>
            </c:ext>
          </c:extLst>
        </c:ser>
        <c:dLbls>
          <c:showLegendKey val="0"/>
          <c:showVal val="0"/>
          <c:showCatName val="0"/>
          <c:showSerName val="0"/>
          <c:showPercent val="0"/>
          <c:showBubbleSize val="0"/>
        </c:dLbls>
        <c:smooth val="0"/>
        <c:axId val="721709887"/>
        <c:axId val="721701727"/>
      </c:lineChart>
      <c:catAx>
        <c:axId val="72170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21701727"/>
        <c:crosses val="autoZero"/>
        <c:auto val="1"/>
        <c:lblAlgn val="ctr"/>
        <c:lblOffset val="100"/>
        <c:noMultiLvlLbl val="0"/>
      </c:catAx>
      <c:valAx>
        <c:axId val="721701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[GWh/år]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21709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none"/>
          </c:marker>
          <c:cat>
            <c:strRef>
              <c:f>FV!$B$54:$B$73</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FV!$C$54:$C$73</c:f>
              <c:numCache>
                <c:formatCode>#,##0</c:formatCode>
                <c:ptCount val="20"/>
                <c:pt idx="0">
                  <c:v>1670</c:v>
                </c:pt>
                <c:pt idx="1">
                  <c:v>1749</c:v>
                </c:pt>
                <c:pt idx="2">
                  <c:v>1922</c:v>
                </c:pt>
                <c:pt idx="3">
                  <c:v>1930</c:v>
                </c:pt>
                <c:pt idx="4">
                  <c:v>2232</c:v>
                </c:pt>
                <c:pt idx="5">
                  <c:v>2804</c:v>
                </c:pt>
                <c:pt idx="6">
                  <c:v>2604</c:v>
                </c:pt>
                <c:pt idx="7">
                  <c:v>2852</c:v>
                </c:pt>
                <c:pt idx="8">
                  <c:v>3095</c:v>
                </c:pt>
                <c:pt idx="9">
                  <c:v>2912</c:v>
                </c:pt>
                <c:pt idx="10">
                  <c:v>3008</c:v>
                </c:pt>
                <c:pt idx="11">
                  <c:v>3221</c:v>
                </c:pt>
                <c:pt idx="12">
                  <c:v>3181</c:v>
                </c:pt>
                <c:pt idx="13">
                  <c:v>3397</c:v>
                </c:pt>
                <c:pt idx="14">
                  <c:v>3393</c:v>
                </c:pt>
                <c:pt idx="15">
                  <c:v>2951</c:v>
                </c:pt>
                <c:pt idx="16">
                  <c:v>3633</c:v>
                </c:pt>
                <c:pt idx="17">
                  <c:v>3427</c:v>
                </c:pt>
                <c:pt idx="18">
                  <c:v>3806</c:v>
                </c:pt>
                <c:pt idx="19">
                  <c:v>3660</c:v>
                </c:pt>
              </c:numCache>
            </c:numRef>
          </c:val>
          <c:smooth val="0"/>
          <c:extLst>
            <c:ext xmlns:c16="http://schemas.microsoft.com/office/drawing/2014/chart" uri="{C3380CC4-5D6E-409C-BE32-E72D297353CC}">
              <c16:uniqueId val="{00000001-A544-456E-910E-8A8C7CD86205}"/>
            </c:ext>
          </c:extLst>
        </c:ser>
        <c:ser>
          <c:idx val="1"/>
          <c:order val="1"/>
          <c:tx>
            <c:strRef>
              <c:f>FV!$E$53</c:f>
              <c:strCache>
                <c:ptCount val="1"/>
                <c:pt idx="0">
                  <c:v>Tempkorr</c:v>
                </c:pt>
              </c:strCache>
            </c:strRef>
          </c:tx>
          <c:spPr>
            <a:ln w="28575" cap="rnd">
              <a:solidFill>
                <a:schemeClr val="accent1"/>
              </a:solidFill>
              <a:round/>
            </a:ln>
            <a:effectLst/>
          </c:spPr>
          <c:marker>
            <c:symbol val="none"/>
          </c:marker>
          <c:cat>
            <c:strRef>
              <c:f>FV!$B$54:$B$73</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FV!$E$54:$E$73</c:f>
              <c:numCache>
                <c:formatCode>#,##0</c:formatCode>
                <c:ptCount val="20"/>
                <c:pt idx="0">
                  <c:v>1806.4587948755959</c:v>
                </c:pt>
                <c:pt idx="1">
                  <c:v>1934.6823029957179</c:v>
                </c:pt>
                <c:pt idx="2">
                  <c:v>2057.7215819550247</c:v>
                </c:pt>
                <c:pt idx="3">
                  <c:v>2091.8132244547819</c:v>
                </c:pt>
                <c:pt idx="4">
                  <c:v>2328.4075696193454</c:v>
                </c:pt>
                <c:pt idx="5">
                  <c:v>2565.2707344838236</c:v>
                </c:pt>
                <c:pt idx="6">
                  <c:v>2876.3436495497826</c:v>
                </c:pt>
                <c:pt idx="7">
                  <c:v>2904.7264928479535</c:v>
                </c:pt>
                <c:pt idx="8">
                  <c:v>3213.9851137501932</c:v>
                </c:pt>
                <c:pt idx="9">
                  <c:v>3383.58473391199</c:v>
                </c:pt>
                <c:pt idx="10">
                  <c:v>3376.2953735473498</c:v>
                </c:pt>
                <c:pt idx="11">
                  <c:v>3482.7672620062704</c:v>
                </c:pt>
                <c:pt idx="12">
                  <c:v>3415.3785691506037</c:v>
                </c:pt>
                <c:pt idx="13">
                  <c:v>3654.4735047946142</c:v>
                </c:pt>
                <c:pt idx="14">
                  <c:v>3654.3985363357438</c:v>
                </c:pt>
                <c:pt idx="15">
                  <c:v>3476.882275143596</c:v>
                </c:pt>
                <c:pt idx="16">
                  <c:v>3850.697123721372</c:v>
                </c:pt>
                <c:pt idx="17">
                  <c:v>3834.486907127759</c:v>
                </c:pt>
                <c:pt idx="18">
                  <c:v>3999.5488810580187</c:v>
                </c:pt>
                <c:pt idx="19">
                  <c:v>4113.4687353048312</c:v>
                </c:pt>
              </c:numCache>
            </c:numRef>
          </c:val>
          <c:smooth val="0"/>
          <c:extLst>
            <c:ext xmlns:c16="http://schemas.microsoft.com/office/drawing/2014/chart" uri="{C3380CC4-5D6E-409C-BE32-E72D297353CC}">
              <c16:uniqueId val="{00000002-A544-456E-910E-8A8C7CD86205}"/>
            </c:ext>
          </c:extLst>
        </c:ser>
        <c:dLbls>
          <c:showLegendKey val="0"/>
          <c:showVal val="0"/>
          <c:showCatName val="0"/>
          <c:showSerName val="0"/>
          <c:showPercent val="0"/>
          <c:showBubbleSize val="0"/>
        </c:dLbls>
        <c:smooth val="0"/>
        <c:axId val="496505984"/>
        <c:axId val="496505504"/>
      </c:lineChart>
      <c:catAx>
        <c:axId val="4965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96505504"/>
        <c:crosses val="autoZero"/>
        <c:auto val="1"/>
        <c:lblAlgn val="ctr"/>
        <c:lblOffset val="100"/>
        <c:noMultiLvlLbl val="0"/>
      </c:catAx>
      <c:valAx>
        <c:axId val="496505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FV til yrkesbygg [GWh/år]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9650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FV!$E$53</c:f>
              <c:strCache>
                <c:ptCount val="1"/>
                <c:pt idx="0">
                  <c:v>Tempkorr</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layout>
                <c:manualLayout>
                  <c:x val="-0.15707224096987876"/>
                  <c:y val="-1.84544405997693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trendlineLbl>
          </c:trendline>
          <c:cat>
            <c:strRef>
              <c:f>FV!$B$54:$B$73</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FV!$E$54:$E$73</c:f>
              <c:numCache>
                <c:formatCode>#,##0</c:formatCode>
                <c:ptCount val="20"/>
                <c:pt idx="0">
                  <c:v>1806.4587948755959</c:v>
                </c:pt>
                <c:pt idx="1">
                  <c:v>1934.6823029957179</c:v>
                </c:pt>
                <c:pt idx="2">
                  <c:v>2057.7215819550247</c:v>
                </c:pt>
                <c:pt idx="3">
                  <c:v>2091.8132244547819</c:v>
                </c:pt>
                <c:pt idx="4">
                  <c:v>2328.4075696193454</c:v>
                </c:pt>
                <c:pt idx="5">
                  <c:v>2565.2707344838236</c:v>
                </c:pt>
                <c:pt idx="6">
                  <c:v>2876.3436495497826</c:v>
                </c:pt>
                <c:pt idx="7">
                  <c:v>2904.7264928479535</c:v>
                </c:pt>
                <c:pt idx="8">
                  <c:v>3213.9851137501932</c:v>
                </c:pt>
                <c:pt idx="9">
                  <c:v>3383.58473391199</c:v>
                </c:pt>
                <c:pt idx="10">
                  <c:v>3376.2953735473498</c:v>
                </c:pt>
                <c:pt idx="11">
                  <c:v>3482.7672620062704</c:v>
                </c:pt>
                <c:pt idx="12">
                  <c:v>3415.3785691506037</c:v>
                </c:pt>
                <c:pt idx="13">
                  <c:v>3654.4735047946142</c:v>
                </c:pt>
                <c:pt idx="14">
                  <c:v>3654.3985363357438</c:v>
                </c:pt>
                <c:pt idx="15">
                  <c:v>3476.882275143596</c:v>
                </c:pt>
                <c:pt idx="16">
                  <c:v>3850.697123721372</c:v>
                </c:pt>
                <c:pt idx="17">
                  <c:v>3834.486907127759</c:v>
                </c:pt>
                <c:pt idx="18">
                  <c:v>3999.5488810580187</c:v>
                </c:pt>
                <c:pt idx="19">
                  <c:v>4113.4687353048312</c:v>
                </c:pt>
              </c:numCache>
            </c:numRef>
          </c:val>
          <c:smooth val="0"/>
          <c:extLst>
            <c:ext xmlns:c16="http://schemas.microsoft.com/office/drawing/2014/chart" uri="{C3380CC4-5D6E-409C-BE32-E72D297353CC}">
              <c16:uniqueId val="{00000001-D25D-4A2D-B336-8D3582D148E7}"/>
            </c:ext>
          </c:extLst>
        </c:ser>
        <c:dLbls>
          <c:showLegendKey val="0"/>
          <c:showVal val="0"/>
          <c:showCatName val="0"/>
          <c:showSerName val="0"/>
          <c:showPercent val="0"/>
          <c:showBubbleSize val="0"/>
        </c:dLbls>
        <c:smooth val="0"/>
        <c:axId val="496505984"/>
        <c:axId val="496505504"/>
      </c:lineChart>
      <c:catAx>
        <c:axId val="4965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96505504"/>
        <c:crosses val="autoZero"/>
        <c:auto val="1"/>
        <c:lblAlgn val="ctr"/>
        <c:lblOffset val="100"/>
        <c:noMultiLvlLbl val="0"/>
      </c:catAx>
      <c:valAx>
        <c:axId val="496505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FV til yrkesbygg, temperaturkorrigert [GWh/år]</a:t>
                </a:r>
              </a:p>
            </c:rich>
          </c:tx>
          <c:layout>
            <c:manualLayout>
              <c:xMode val="edge"/>
              <c:yMode val="edge"/>
              <c:x val="1.3888888888888888E-2"/>
              <c:y val="0.214729081941680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9650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FV!$E$53</c:f>
              <c:strCache>
                <c:ptCount val="1"/>
                <c:pt idx="0">
                  <c:v>Tempkorr</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poly"/>
            <c:order val="2"/>
            <c:forward val="1"/>
            <c:dispRSqr val="1"/>
            <c:dispEq val="1"/>
            <c:trendlineLbl>
              <c:layout>
                <c:manualLayout>
                  <c:x val="-3.3554139065950089E-3"/>
                  <c:y val="0.2241228383037486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trendlineLbl>
          </c:trendline>
          <c:cat>
            <c:strRef>
              <c:f>FV!$B$64:$B$73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FV!$E$64:$E$73</c:f>
              <c:numCache>
                <c:formatCode>#,##0</c:formatCode>
                <c:ptCount val="10"/>
                <c:pt idx="0">
                  <c:v>3376.2953735473498</c:v>
                </c:pt>
                <c:pt idx="1">
                  <c:v>3482.7672620062704</c:v>
                </c:pt>
                <c:pt idx="2">
                  <c:v>3415.3785691506037</c:v>
                </c:pt>
                <c:pt idx="3">
                  <c:v>3654.4735047946142</c:v>
                </c:pt>
                <c:pt idx="4">
                  <c:v>3654.3985363357438</c:v>
                </c:pt>
                <c:pt idx="5">
                  <c:v>3476.882275143596</c:v>
                </c:pt>
                <c:pt idx="6">
                  <c:v>3850.697123721372</c:v>
                </c:pt>
                <c:pt idx="7">
                  <c:v>3834.486907127759</c:v>
                </c:pt>
                <c:pt idx="8">
                  <c:v>3999.5488810580187</c:v>
                </c:pt>
                <c:pt idx="9">
                  <c:v>4113.4687353048312</c:v>
                </c:pt>
              </c:numCache>
            </c:numRef>
          </c:val>
          <c:smooth val="0"/>
          <c:extLst>
            <c:ext xmlns:c16="http://schemas.microsoft.com/office/drawing/2014/chart" uri="{C3380CC4-5D6E-409C-BE32-E72D297353CC}">
              <c16:uniqueId val="{00000001-65ED-4CF7-87E5-CAC3ACDCA205}"/>
            </c:ext>
          </c:extLst>
        </c:ser>
        <c:dLbls>
          <c:showLegendKey val="0"/>
          <c:showVal val="0"/>
          <c:showCatName val="0"/>
          <c:showSerName val="0"/>
          <c:showPercent val="0"/>
          <c:showBubbleSize val="0"/>
        </c:dLbls>
        <c:smooth val="0"/>
        <c:axId val="496505984"/>
        <c:axId val="496505504"/>
      </c:lineChart>
      <c:catAx>
        <c:axId val="4965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96505504"/>
        <c:crosses val="autoZero"/>
        <c:auto val="1"/>
        <c:lblAlgn val="ctr"/>
        <c:lblOffset val="100"/>
        <c:noMultiLvlLbl val="0"/>
      </c:catAx>
      <c:valAx>
        <c:axId val="496505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FV til yrkesbygg, temperaturkorrigert [GWh/år]</a:t>
                </a:r>
              </a:p>
            </c:rich>
          </c:tx>
          <c:layout>
            <c:manualLayout>
              <c:xMode val="edge"/>
              <c:yMode val="edge"/>
              <c:x val="5.5555555555555558E-3"/>
              <c:y val="0.128142495403933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9650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FV!$E$53</c:f>
              <c:strCache>
                <c:ptCount val="1"/>
                <c:pt idx="0">
                  <c:v>Tempkorr</c:v>
                </c:pt>
              </c:strCache>
            </c:strRef>
          </c:tx>
          <c:spPr>
            <a:ln w="28575" cap="rnd">
              <a:solidFill>
                <a:schemeClr val="accent1"/>
              </a:solidFill>
              <a:round/>
            </a:ln>
            <a:effectLst/>
          </c:spPr>
          <c:marker>
            <c:symbol val="none"/>
          </c:marker>
          <c:trendline>
            <c:spPr>
              <a:ln w="19050" cap="rnd">
                <a:solidFill>
                  <a:schemeClr val="accent2"/>
                </a:solidFill>
                <a:prstDash val="sysDot"/>
              </a:ln>
              <a:effectLst/>
            </c:spPr>
            <c:trendlineType val="poly"/>
            <c:order val="2"/>
            <c:forward val="1"/>
            <c:dispRSqr val="1"/>
            <c:dispEq val="1"/>
            <c:trendlineLbl>
              <c:layout>
                <c:manualLayout>
                  <c:x val="6.8939195100612425E-3"/>
                  <c:y val="0.2314814814814814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trendlineLbl>
          </c:trendline>
          <c:cat>
            <c:strRef>
              <c:f>FV!$B$69:$B$73</c:f>
              <c:strCache>
                <c:ptCount val="5"/>
                <c:pt idx="0">
                  <c:v>2020</c:v>
                </c:pt>
                <c:pt idx="1">
                  <c:v>2021</c:v>
                </c:pt>
                <c:pt idx="2">
                  <c:v>2022</c:v>
                </c:pt>
                <c:pt idx="3">
                  <c:v>2023</c:v>
                </c:pt>
                <c:pt idx="4">
                  <c:v>2024</c:v>
                </c:pt>
              </c:strCache>
            </c:strRef>
          </c:cat>
          <c:val>
            <c:numRef>
              <c:f>FV!$E$69:$E$73</c:f>
              <c:numCache>
                <c:formatCode>#,##0</c:formatCode>
                <c:ptCount val="5"/>
                <c:pt idx="0">
                  <c:v>3476.882275143596</c:v>
                </c:pt>
                <c:pt idx="1">
                  <c:v>3850.697123721372</c:v>
                </c:pt>
                <c:pt idx="2">
                  <c:v>3834.486907127759</c:v>
                </c:pt>
                <c:pt idx="3">
                  <c:v>3999.5488810580187</c:v>
                </c:pt>
                <c:pt idx="4">
                  <c:v>4113.4687353048312</c:v>
                </c:pt>
              </c:numCache>
            </c:numRef>
          </c:val>
          <c:smooth val="0"/>
          <c:extLst>
            <c:ext xmlns:c16="http://schemas.microsoft.com/office/drawing/2014/chart" uri="{C3380CC4-5D6E-409C-BE32-E72D297353CC}">
              <c16:uniqueId val="{00000001-A477-4F4F-8E1F-3E826758442E}"/>
            </c:ext>
          </c:extLst>
        </c:ser>
        <c:dLbls>
          <c:showLegendKey val="0"/>
          <c:showVal val="0"/>
          <c:showCatName val="0"/>
          <c:showSerName val="0"/>
          <c:showPercent val="0"/>
          <c:showBubbleSize val="0"/>
        </c:dLbls>
        <c:smooth val="0"/>
        <c:axId val="496505984"/>
        <c:axId val="496505504"/>
      </c:lineChart>
      <c:catAx>
        <c:axId val="4965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96505504"/>
        <c:crosses val="autoZero"/>
        <c:auto val="1"/>
        <c:lblAlgn val="ctr"/>
        <c:lblOffset val="100"/>
        <c:noMultiLvlLbl val="0"/>
      </c:catAx>
      <c:valAx>
        <c:axId val="496505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FV til yrkesbygg [GWh/år]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9650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Fjernvarme i yrkesbygg pr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0"/>
            <c:trendlineLbl>
              <c:layout>
                <c:manualLayout>
                  <c:x val="-5.6242969628796406E-4"/>
                  <c:y val="-7.921205098493626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trendlineLbl>
          </c:trendline>
          <c:cat>
            <c:strRef>
              <c:f>FV!$B$59:$B$73</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FV!$G$59:$G$73</c:f>
              <c:numCache>
                <c:formatCode>0</c:formatCode>
                <c:ptCount val="15"/>
                <c:pt idx="0">
                  <c:v>528.02915946502469</c:v>
                </c:pt>
                <c:pt idx="1">
                  <c:v>584.58645339054851</c:v>
                </c:pt>
                <c:pt idx="2">
                  <c:v>582.59170272148162</c:v>
                </c:pt>
                <c:pt idx="3">
                  <c:v>636.27205284808156</c:v>
                </c:pt>
                <c:pt idx="4">
                  <c:v>662.27199974163329</c:v>
                </c:pt>
                <c:pt idx="5">
                  <c:v>653.58590467605029</c:v>
                </c:pt>
                <c:pt idx="6">
                  <c:v>667.9664905070249</c:v>
                </c:pt>
                <c:pt idx="7">
                  <c:v>649.51933653878291</c:v>
                </c:pt>
                <c:pt idx="8">
                  <c:v>690.09373687846767</c:v>
                </c:pt>
                <c:pt idx="9">
                  <c:v>685.85832101570736</c:v>
                </c:pt>
                <c:pt idx="10">
                  <c:v>647.75602322528891</c:v>
                </c:pt>
                <c:pt idx="11">
                  <c:v>714.23364338841805</c:v>
                </c:pt>
                <c:pt idx="12">
                  <c:v>706.78268678383904</c:v>
                </c:pt>
                <c:pt idx="13">
                  <c:v>728.65012560758396</c:v>
                </c:pt>
                <c:pt idx="14">
                  <c:v>735.29641515557455</c:v>
                </c:pt>
              </c:numCache>
            </c:numRef>
          </c:val>
          <c:smooth val="0"/>
          <c:extLst>
            <c:ext xmlns:c16="http://schemas.microsoft.com/office/drawing/2014/chart" uri="{C3380CC4-5D6E-409C-BE32-E72D297353CC}">
              <c16:uniqueId val="{00000000-C586-4FFB-B7F0-3EF3B0E85FC4}"/>
            </c:ext>
          </c:extLst>
        </c:ser>
        <c:dLbls>
          <c:showLegendKey val="0"/>
          <c:showVal val="0"/>
          <c:showCatName val="0"/>
          <c:showSerName val="0"/>
          <c:showPercent val="0"/>
          <c:showBubbleSize val="0"/>
        </c:dLbls>
        <c:smooth val="0"/>
        <c:axId val="463582480"/>
        <c:axId val="463583440"/>
      </c:lineChart>
      <c:catAx>
        <c:axId val="46358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63583440"/>
        <c:crosses val="autoZero"/>
        <c:auto val="1"/>
        <c:lblAlgn val="ctr"/>
        <c:lblOffset val="100"/>
        <c:noMultiLvlLbl val="0"/>
      </c:catAx>
      <c:valAx>
        <c:axId val="463583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63582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92825896762907"/>
          <c:y val="5.0925925925925923E-2"/>
          <c:w val="0.78352843394575689"/>
          <c:h val="0.80808690580344122"/>
        </c:manualLayout>
      </c:layout>
      <c:lineChart>
        <c:grouping val="standard"/>
        <c:varyColors val="0"/>
        <c:ser>
          <c:idx val="0"/>
          <c:order val="0"/>
          <c:tx>
            <c:strRef>
              <c:f>FV!$H$27</c:f>
              <c:strCache>
                <c:ptCount val="1"/>
                <c:pt idx="0">
                  <c:v>Temperaturkorrigert</c:v>
                </c:pt>
              </c:strCache>
            </c:strRef>
          </c:tx>
          <c:spPr>
            <a:ln w="28575" cap="rnd">
              <a:solidFill>
                <a:schemeClr val="accent1"/>
              </a:solidFill>
              <a:round/>
            </a:ln>
            <a:effectLst/>
          </c:spPr>
          <c:marker>
            <c:symbol val="none"/>
          </c:marker>
          <c:cat>
            <c:strRef>
              <c:f>FV!$G$28:$G$47</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FV!$H$28:$H$47</c:f>
              <c:numCache>
                <c:formatCode>#,##0</c:formatCode>
                <c:ptCount val="20"/>
                <c:pt idx="0">
                  <c:v>439.74443418774467</c:v>
                </c:pt>
                <c:pt idx="1">
                  <c:v>528.53623440828733</c:v>
                </c:pt>
                <c:pt idx="2">
                  <c:v>579.0204118506233</c:v>
                </c:pt>
                <c:pt idx="3">
                  <c:v>740.86858648389307</c:v>
                </c:pt>
                <c:pt idx="4">
                  <c:v>746.18890355645306</c:v>
                </c:pt>
                <c:pt idx="5">
                  <c:v>946.12660105075599</c:v>
                </c:pt>
                <c:pt idx="6">
                  <c:v>828.48403211176606</c:v>
                </c:pt>
                <c:pt idx="7">
                  <c:v>921.82416243067598</c:v>
                </c:pt>
                <c:pt idx="8">
                  <c:v>1071.2213446937822</c:v>
                </c:pt>
                <c:pt idx="9">
                  <c:v>1105.3602889179024</c:v>
                </c:pt>
                <c:pt idx="10">
                  <c:v>1107.7000946084486</c:v>
                </c:pt>
                <c:pt idx="11">
                  <c:v>1247.6686660121188</c:v>
                </c:pt>
                <c:pt idx="12">
                  <c:v>1395.4228405837823</c:v>
                </c:pt>
                <c:pt idx="13">
                  <c:v>1442.1821038634966</c:v>
                </c:pt>
                <c:pt idx="14">
                  <c:v>1587.3964693393614</c:v>
                </c:pt>
                <c:pt idx="15">
                  <c:v>1644.0130795576872</c:v>
                </c:pt>
                <c:pt idx="16">
                  <c:v>1732.0248349102835</c:v>
                </c:pt>
                <c:pt idx="17">
                  <c:v>1759.1348757994631</c:v>
                </c:pt>
                <c:pt idx="18">
                  <c:v>1926.5465601772275</c:v>
                </c:pt>
                <c:pt idx="19">
                  <c:v>1984.0181945330669</c:v>
                </c:pt>
              </c:numCache>
            </c:numRef>
          </c:val>
          <c:smooth val="0"/>
          <c:extLst>
            <c:ext xmlns:c16="http://schemas.microsoft.com/office/drawing/2014/chart" uri="{C3380CC4-5D6E-409C-BE32-E72D297353CC}">
              <c16:uniqueId val="{00000000-F598-4BCB-9C0D-CEE5BD124200}"/>
            </c:ext>
          </c:extLst>
        </c:ser>
        <c:ser>
          <c:idx val="1"/>
          <c:order val="1"/>
          <c:tx>
            <c:strRef>
              <c:f>FV!#REF!</c:f>
              <c:strCache>
                <c:ptCount val="1"/>
                <c:pt idx="0">
                  <c:v>#REF!</c:v>
                </c:pt>
              </c:strCache>
            </c:strRef>
          </c:tx>
          <c:spPr>
            <a:ln w="28575" cap="rnd">
              <a:solidFill>
                <a:schemeClr val="accent2"/>
              </a:solidFill>
              <a:round/>
            </a:ln>
            <a:effectLst/>
          </c:spPr>
          <c:marker>
            <c:symbol val="none"/>
          </c:marker>
          <c:cat>
            <c:strRef>
              <c:f>FV!$G$28:$G$47</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FV!#REF!</c:f>
              <c:numCache>
                <c:formatCode>General</c:formatCode>
                <c:ptCount val="1"/>
                <c:pt idx="0">
                  <c:v>1</c:v>
                </c:pt>
              </c:numCache>
            </c:numRef>
          </c:val>
          <c:smooth val="0"/>
          <c:extLst>
            <c:ext xmlns:c16="http://schemas.microsoft.com/office/drawing/2014/chart" uri="{C3380CC4-5D6E-409C-BE32-E72D297353CC}">
              <c16:uniqueId val="{00000004-F598-4BCB-9C0D-CEE5BD124200}"/>
            </c:ext>
          </c:extLst>
        </c:ser>
        <c:ser>
          <c:idx val="2"/>
          <c:order val="2"/>
          <c:tx>
            <c:strRef>
              <c:f>FV!$I$27</c:f>
              <c:strCache>
                <c:ptCount val="1"/>
                <c:pt idx="0">
                  <c:v>Snitt 10 år</c:v>
                </c:pt>
              </c:strCache>
            </c:strRef>
          </c:tx>
          <c:spPr>
            <a:ln w="28575" cap="rnd">
              <a:solidFill>
                <a:schemeClr val="accent3"/>
              </a:solidFill>
              <a:round/>
            </a:ln>
            <a:effectLst/>
          </c:spPr>
          <c:marker>
            <c:symbol val="none"/>
          </c:marker>
          <c:cat>
            <c:strRef>
              <c:f>FV!$G$28:$G$47</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FV!$I$28:$I$47</c:f>
              <c:numCache>
                <c:formatCode>General</c:formatCode>
                <c:ptCount val="20"/>
                <c:pt idx="9" formatCode="#,##0">
                  <c:v>1582.6107719384938</c:v>
                </c:pt>
                <c:pt idx="10" formatCode="#,##0">
                  <c:v>1582.6107719384938</c:v>
                </c:pt>
                <c:pt idx="11" formatCode="#,##0">
                  <c:v>1582.6107719384938</c:v>
                </c:pt>
                <c:pt idx="12" formatCode="#,##0">
                  <c:v>1582.6107719384938</c:v>
                </c:pt>
                <c:pt idx="13" formatCode="#,##0">
                  <c:v>1582.6107719384938</c:v>
                </c:pt>
                <c:pt idx="14" formatCode="#,##0">
                  <c:v>1582.6107719384938</c:v>
                </c:pt>
                <c:pt idx="15" formatCode="#,##0">
                  <c:v>1582.6107719384938</c:v>
                </c:pt>
                <c:pt idx="16" formatCode="#,##0">
                  <c:v>1582.6107719384938</c:v>
                </c:pt>
                <c:pt idx="17" formatCode="#,##0">
                  <c:v>1582.6107719384938</c:v>
                </c:pt>
                <c:pt idx="18" formatCode="#,##0">
                  <c:v>1582.6107719384938</c:v>
                </c:pt>
                <c:pt idx="19" formatCode="#,##0">
                  <c:v>1582.6107719384938</c:v>
                </c:pt>
              </c:numCache>
            </c:numRef>
          </c:val>
          <c:smooth val="0"/>
          <c:extLst>
            <c:ext xmlns:c16="http://schemas.microsoft.com/office/drawing/2014/chart" uri="{C3380CC4-5D6E-409C-BE32-E72D297353CC}">
              <c16:uniqueId val="{00000005-F598-4BCB-9C0D-CEE5BD124200}"/>
            </c:ext>
          </c:extLst>
        </c:ser>
        <c:ser>
          <c:idx val="3"/>
          <c:order val="3"/>
          <c:tx>
            <c:strRef>
              <c:f>FV!$J$27</c:f>
              <c:strCache>
                <c:ptCount val="1"/>
                <c:pt idx="0">
                  <c:v>Snitt 5 år</c:v>
                </c:pt>
              </c:strCache>
            </c:strRef>
          </c:tx>
          <c:spPr>
            <a:ln w="28575" cap="rnd">
              <a:solidFill>
                <a:schemeClr val="accent4"/>
              </a:solidFill>
              <a:round/>
            </a:ln>
            <a:effectLst/>
          </c:spPr>
          <c:marker>
            <c:symbol val="none"/>
          </c:marker>
          <c:cat>
            <c:strRef>
              <c:f>FV!$G$28:$G$47</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FV!$J$28:$J$47</c:f>
              <c:numCache>
                <c:formatCode>General</c:formatCode>
                <c:ptCount val="20"/>
                <c:pt idx="14" formatCode="#,##0">
                  <c:v>1809.1475089955456</c:v>
                </c:pt>
                <c:pt idx="15" formatCode="#,##0">
                  <c:v>1809.1475089955456</c:v>
                </c:pt>
                <c:pt idx="16" formatCode="#,##0">
                  <c:v>1809.1475089955456</c:v>
                </c:pt>
                <c:pt idx="17" formatCode="#,##0">
                  <c:v>1809.1475089955456</c:v>
                </c:pt>
                <c:pt idx="18" formatCode="#,##0">
                  <c:v>1809.1475089955456</c:v>
                </c:pt>
                <c:pt idx="19" formatCode="#,##0">
                  <c:v>1809.1475089955456</c:v>
                </c:pt>
              </c:numCache>
            </c:numRef>
          </c:val>
          <c:smooth val="0"/>
          <c:extLst>
            <c:ext xmlns:c16="http://schemas.microsoft.com/office/drawing/2014/chart" uri="{C3380CC4-5D6E-409C-BE32-E72D297353CC}">
              <c16:uniqueId val="{00000007-F598-4BCB-9C0D-CEE5BD124200}"/>
            </c:ext>
          </c:extLst>
        </c:ser>
        <c:dLbls>
          <c:showLegendKey val="0"/>
          <c:showVal val="0"/>
          <c:showCatName val="0"/>
          <c:showSerName val="0"/>
          <c:showPercent val="0"/>
          <c:showBubbleSize val="0"/>
        </c:dLbls>
        <c:smooth val="0"/>
        <c:axId val="1643799647"/>
        <c:axId val="1643795807"/>
      </c:lineChart>
      <c:catAx>
        <c:axId val="164379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43795807"/>
        <c:crosses val="autoZero"/>
        <c:auto val="1"/>
        <c:lblAlgn val="ctr"/>
        <c:lblOffset val="100"/>
        <c:noMultiLvlLbl val="0"/>
      </c:catAx>
      <c:valAx>
        <c:axId val="1643795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Fjernvarme levert til husholdninger [GWh/år]</a:t>
                </a:r>
              </a:p>
            </c:rich>
          </c:tx>
          <c:layout>
            <c:manualLayout>
              <c:xMode val="edge"/>
              <c:yMode val="edge"/>
              <c:x val="1.6666666666666666E-2"/>
              <c:y val="0.108472222222222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43799647"/>
        <c:crosses val="autoZero"/>
        <c:crossBetween val="between"/>
      </c:valAx>
      <c:spPr>
        <a:noFill/>
        <a:ln>
          <a:noFill/>
        </a:ln>
        <a:effectLst/>
      </c:spPr>
    </c:plotArea>
    <c:legend>
      <c:legendPos val="r"/>
      <c:legendEntry>
        <c:idx val="1"/>
        <c:delete val="1"/>
      </c:legendEntry>
      <c:layout>
        <c:manualLayout>
          <c:xMode val="edge"/>
          <c:yMode val="edge"/>
          <c:x val="0.19545669291338585"/>
          <c:y val="9.0275590551181104E-2"/>
          <c:w val="0.44343219597550304"/>
          <c:h val="0.18518955963837855"/>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92825896762907"/>
          <c:y val="5.0925925925925923E-2"/>
          <c:w val="0.78352843394575689"/>
          <c:h val="0.80808690580344122"/>
        </c:manualLayout>
      </c:layout>
      <c:lineChart>
        <c:grouping val="standard"/>
        <c:varyColors val="0"/>
        <c:ser>
          <c:idx val="0"/>
          <c:order val="0"/>
          <c:tx>
            <c:strRef>
              <c:f>FV!$H$27</c:f>
              <c:strCache>
                <c:ptCount val="1"/>
                <c:pt idx="0">
                  <c:v>Temperaturkorrigert</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forward val="1"/>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trendlineLbl>
          </c:trendline>
          <c:cat>
            <c:strRef>
              <c:f>FV!$G$28:$G$47</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FV!$H$28:$H$47</c:f>
              <c:numCache>
                <c:formatCode>#,##0</c:formatCode>
                <c:ptCount val="20"/>
                <c:pt idx="0">
                  <c:v>439.74443418774467</c:v>
                </c:pt>
                <c:pt idx="1">
                  <c:v>528.53623440828733</c:v>
                </c:pt>
                <c:pt idx="2">
                  <c:v>579.0204118506233</c:v>
                </c:pt>
                <c:pt idx="3">
                  <c:v>740.86858648389307</c:v>
                </c:pt>
                <c:pt idx="4">
                  <c:v>746.18890355645306</c:v>
                </c:pt>
                <c:pt idx="5">
                  <c:v>946.12660105075599</c:v>
                </c:pt>
                <c:pt idx="6">
                  <c:v>828.48403211176606</c:v>
                </c:pt>
                <c:pt idx="7">
                  <c:v>921.82416243067598</c:v>
                </c:pt>
                <c:pt idx="8">
                  <c:v>1071.2213446937822</c:v>
                </c:pt>
                <c:pt idx="9">
                  <c:v>1105.3602889179024</c:v>
                </c:pt>
                <c:pt idx="10">
                  <c:v>1107.7000946084486</c:v>
                </c:pt>
                <c:pt idx="11">
                  <c:v>1247.6686660121188</c:v>
                </c:pt>
                <c:pt idx="12">
                  <c:v>1395.4228405837823</c:v>
                </c:pt>
                <c:pt idx="13">
                  <c:v>1442.1821038634966</c:v>
                </c:pt>
                <c:pt idx="14">
                  <c:v>1587.3964693393614</c:v>
                </c:pt>
                <c:pt idx="15">
                  <c:v>1644.0130795576872</c:v>
                </c:pt>
                <c:pt idx="16">
                  <c:v>1732.0248349102835</c:v>
                </c:pt>
                <c:pt idx="17">
                  <c:v>1759.1348757994631</c:v>
                </c:pt>
                <c:pt idx="18">
                  <c:v>1926.5465601772275</c:v>
                </c:pt>
                <c:pt idx="19">
                  <c:v>1984.0181945330669</c:v>
                </c:pt>
              </c:numCache>
            </c:numRef>
          </c:val>
          <c:smooth val="0"/>
          <c:extLst>
            <c:ext xmlns:c16="http://schemas.microsoft.com/office/drawing/2014/chart" uri="{C3380CC4-5D6E-409C-BE32-E72D297353CC}">
              <c16:uniqueId val="{00000003-4CA1-4DDB-B454-FE14FF8BBF86}"/>
            </c:ext>
          </c:extLst>
        </c:ser>
        <c:dLbls>
          <c:showLegendKey val="0"/>
          <c:showVal val="0"/>
          <c:showCatName val="0"/>
          <c:showSerName val="0"/>
          <c:showPercent val="0"/>
          <c:showBubbleSize val="0"/>
        </c:dLbls>
        <c:smooth val="0"/>
        <c:axId val="1643799647"/>
        <c:axId val="1643795807"/>
      </c:lineChart>
      <c:catAx>
        <c:axId val="164379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43795807"/>
        <c:crosses val="autoZero"/>
        <c:auto val="1"/>
        <c:lblAlgn val="ctr"/>
        <c:lblOffset val="100"/>
        <c:noMultiLvlLbl val="0"/>
      </c:catAx>
      <c:valAx>
        <c:axId val="1643795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Fjernvarme levert til husholdninger [GWh/år]</a:t>
                </a:r>
              </a:p>
            </c:rich>
          </c:tx>
          <c:layout>
            <c:manualLayout>
              <c:xMode val="edge"/>
              <c:yMode val="edge"/>
              <c:x val="1.6666666666666666E-2"/>
              <c:y val="0.108472222222222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43799647"/>
        <c:crosses val="autoZero"/>
        <c:crossBetween val="between"/>
      </c:valAx>
      <c:spPr>
        <a:noFill/>
        <a:ln>
          <a:noFill/>
        </a:ln>
        <a:effectLst/>
      </c:spPr>
    </c:plotArea>
    <c:legend>
      <c:legendPos val="r"/>
      <c:layout>
        <c:manualLayout>
          <c:xMode val="edge"/>
          <c:yMode val="edge"/>
          <c:x val="0.18990113735783029"/>
          <c:y val="6.712744240303295E-2"/>
          <c:w val="0.43509886264216979"/>
          <c:h val="0.20833770778652669"/>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92825896762907"/>
          <c:y val="5.0925925925925923E-2"/>
          <c:w val="0.78352843394575689"/>
          <c:h val="0.80808690580344122"/>
        </c:manualLayout>
      </c:layout>
      <c:lineChart>
        <c:grouping val="standard"/>
        <c:varyColors val="0"/>
        <c:ser>
          <c:idx val="0"/>
          <c:order val="0"/>
          <c:tx>
            <c:strRef>
              <c:f>FV!$H$27</c:f>
              <c:strCache>
                <c:ptCount val="1"/>
                <c:pt idx="0">
                  <c:v>Temperaturkorrigert</c:v>
                </c:pt>
              </c:strCache>
            </c:strRef>
          </c:tx>
          <c:spPr>
            <a:ln w="28575" cap="rnd">
              <a:solidFill>
                <a:schemeClr val="accent1"/>
              </a:solidFill>
              <a:round/>
            </a:ln>
            <a:effectLst/>
          </c:spPr>
          <c:marker>
            <c:symbol val="none"/>
          </c:marker>
          <c:cat>
            <c:strRef>
              <c:f>FV!$G$28:$G$47</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FV!$H$28:$H$47</c:f>
              <c:numCache>
                <c:formatCode>#,##0</c:formatCode>
                <c:ptCount val="20"/>
                <c:pt idx="0">
                  <c:v>439.74443418774467</c:v>
                </c:pt>
                <c:pt idx="1">
                  <c:v>528.53623440828733</c:v>
                </c:pt>
                <c:pt idx="2">
                  <c:v>579.0204118506233</c:v>
                </c:pt>
                <c:pt idx="3">
                  <c:v>740.86858648389307</c:v>
                </c:pt>
                <c:pt idx="4">
                  <c:v>746.18890355645306</c:v>
                </c:pt>
                <c:pt idx="5">
                  <c:v>946.12660105075599</c:v>
                </c:pt>
                <c:pt idx="6">
                  <c:v>828.48403211176606</c:v>
                </c:pt>
                <c:pt idx="7">
                  <c:v>921.82416243067598</c:v>
                </c:pt>
                <c:pt idx="8">
                  <c:v>1071.2213446937822</c:v>
                </c:pt>
                <c:pt idx="9">
                  <c:v>1105.3602889179024</c:v>
                </c:pt>
                <c:pt idx="10">
                  <c:v>1107.7000946084486</c:v>
                </c:pt>
                <c:pt idx="11">
                  <c:v>1247.6686660121188</c:v>
                </c:pt>
                <c:pt idx="12">
                  <c:v>1395.4228405837823</c:v>
                </c:pt>
                <c:pt idx="13">
                  <c:v>1442.1821038634966</c:v>
                </c:pt>
                <c:pt idx="14">
                  <c:v>1587.3964693393614</c:v>
                </c:pt>
                <c:pt idx="15">
                  <c:v>1644.0130795576872</c:v>
                </c:pt>
                <c:pt idx="16">
                  <c:v>1732.0248349102835</c:v>
                </c:pt>
                <c:pt idx="17">
                  <c:v>1759.1348757994631</c:v>
                </c:pt>
                <c:pt idx="18">
                  <c:v>1926.5465601772275</c:v>
                </c:pt>
                <c:pt idx="19">
                  <c:v>1984.0181945330669</c:v>
                </c:pt>
              </c:numCache>
            </c:numRef>
          </c:val>
          <c:smooth val="0"/>
          <c:extLst>
            <c:ext xmlns:c16="http://schemas.microsoft.com/office/drawing/2014/chart" uri="{C3380CC4-5D6E-409C-BE32-E72D297353CC}">
              <c16:uniqueId val="{00000001-2663-4B67-AE2D-A1976AEAD846}"/>
            </c:ext>
          </c:extLst>
        </c:ser>
        <c:dLbls>
          <c:showLegendKey val="0"/>
          <c:showVal val="0"/>
          <c:showCatName val="0"/>
          <c:showSerName val="0"/>
          <c:showPercent val="0"/>
          <c:showBubbleSize val="0"/>
        </c:dLbls>
        <c:smooth val="0"/>
        <c:axId val="1643799647"/>
        <c:axId val="1643795807"/>
      </c:lineChart>
      <c:catAx>
        <c:axId val="164379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43795807"/>
        <c:crosses val="autoZero"/>
        <c:auto val="1"/>
        <c:lblAlgn val="ctr"/>
        <c:lblOffset val="100"/>
        <c:noMultiLvlLbl val="0"/>
      </c:catAx>
      <c:valAx>
        <c:axId val="1643795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Fjernvarme levert til husholdninger, temperaturkorrigert [GWh/år]</a:t>
                </a:r>
              </a:p>
            </c:rich>
          </c:tx>
          <c:layout>
            <c:manualLayout>
              <c:xMode val="edge"/>
              <c:yMode val="edge"/>
              <c:x val="1.6666666666666666E-2"/>
              <c:y val="0.108472222222222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4379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chart" Target="../charts/chart30.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chart" Target="../charts/chart29.xml"/><Relationship Id="rId5" Type="http://schemas.openxmlformats.org/officeDocument/2006/relationships/chart" Target="../charts/chart23.xml"/><Relationship Id="rId10" Type="http://schemas.openxmlformats.org/officeDocument/2006/relationships/chart" Target="../charts/chart28.xml"/><Relationship Id="rId4" Type="http://schemas.openxmlformats.org/officeDocument/2006/relationships/chart" Target="../charts/chart22.xml"/><Relationship Id="rId9"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1</xdr:col>
      <xdr:colOff>552450</xdr:colOff>
      <xdr:row>52</xdr:row>
      <xdr:rowOff>147637</xdr:rowOff>
    </xdr:from>
    <xdr:to>
      <xdr:col>5</xdr:col>
      <xdr:colOff>457200</xdr:colOff>
      <xdr:row>67</xdr:row>
      <xdr:rowOff>33337</xdr:rowOff>
    </xdr:to>
    <xdr:graphicFrame macro="">
      <xdr:nvGraphicFramePr>
        <xdr:cNvPr id="2" name="Diagram 1">
          <a:extLst>
            <a:ext uri="{FF2B5EF4-FFF2-40B4-BE49-F238E27FC236}">
              <a16:creationId xmlns:a16="http://schemas.microsoft.com/office/drawing/2014/main" id="{B6525F19-74FB-E2C3-2445-8A4BF7120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47625</xdr:colOff>
      <xdr:row>45</xdr:row>
      <xdr:rowOff>171450</xdr:rowOff>
    </xdr:from>
    <xdr:to>
      <xdr:col>25</xdr:col>
      <xdr:colOff>247650</xdr:colOff>
      <xdr:row>60</xdr:row>
      <xdr:rowOff>57150</xdr:rowOff>
    </xdr:to>
    <xdr:graphicFrame macro="">
      <xdr:nvGraphicFramePr>
        <xdr:cNvPr id="3" name="Diagram 2">
          <a:extLst>
            <a:ext uri="{FF2B5EF4-FFF2-40B4-BE49-F238E27FC236}">
              <a16:creationId xmlns:a16="http://schemas.microsoft.com/office/drawing/2014/main" id="{A58D782C-0DDD-4773-96E1-22050B834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466725</xdr:colOff>
      <xdr:row>62</xdr:row>
      <xdr:rowOff>0</xdr:rowOff>
    </xdr:from>
    <xdr:to>
      <xdr:col>25</xdr:col>
      <xdr:colOff>180975</xdr:colOff>
      <xdr:row>76</xdr:row>
      <xdr:rowOff>76200</xdr:rowOff>
    </xdr:to>
    <xdr:graphicFrame macro="">
      <xdr:nvGraphicFramePr>
        <xdr:cNvPr id="4" name="Diagram 3">
          <a:extLst>
            <a:ext uri="{FF2B5EF4-FFF2-40B4-BE49-F238E27FC236}">
              <a16:creationId xmlns:a16="http://schemas.microsoft.com/office/drawing/2014/main" id="{EB0AFD11-F4EA-4CE0-B6B4-FBC829523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485775</xdr:colOff>
      <xdr:row>47</xdr:row>
      <xdr:rowOff>85725</xdr:rowOff>
    </xdr:from>
    <xdr:to>
      <xdr:col>15</xdr:col>
      <xdr:colOff>0</xdr:colOff>
      <xdr:row>61</xdr:row>
      <xdr:rowOff>161925</xdr:rowOff>
    </xdr:to>
    <xdr:graphicFrame macro="">
      <xdr:nvGraphicFramePr>
        <xdr:cNvPr id="5" name="Diagram 4">
          <a:extLst>
            <a:ext uri="{FF2B5EF4-FFF2-40B4-BE49-F238E27FC236}">
              <a16:creationId xmlns:a16="http://schemas.microsoft.com/office/drawing/2014/main" id="{971B3F38-5624-42EB-B85C-A566F7CFA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666750</xdr:colOff>
      <xdr:row>10</xdr:row>
      <xdr:rowOff>147637</xdr:rowOff>
    </xdr:from>
    <xdr:to>
      <xdr:col>13</xdr:col>
      <xdr:colOff>390525</xdr:colOff>
      <xdr:row>25</xdr:row>
      <xdr:rowOff>33337</xdr:rowOff>
    </xdr:to>
    <xdr:graphicFrame macro="">
      <xdr:nvGraphicFramePr>
        <xdr:cNvPr id="6" name="Diagram 5">
          <a:extLst>
            <a:ext uri="{FF2B5EF4-FFF2-40B4-BE49-F238E27FC236}">
              <a16:creationId xmlns:a16="http://schemas.microsoft.com/office/drawing/2014/main" id="{8E90B0D0-7B70-C4A6-DC9D-DEF43C208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238125</xdr:colOff>
      <xdr:row>18</xdr:row>
      <xdr:rowOff>9525</xdr:rowOff>
    </xdr:from>
    <xdr:to>
      <xdr:col>14</xdr:col>
      <xdr:colOff>238125</xdr:colOff>
      <xdr:row>32</xdr:row>
      <xdr:rowOff>85725</xdr:rowOff>
    </xdr:to>
    <xdr:graphicFrame macro="">
      <xdr:nvGraphicFramePr>
        <xdr:cNvPr id="7" name="Diagram 6">
          <a:extLst>
            <a:ext uri="{FF2B5EF4-FFF2-40B4-BE49-F238E27FC236}">
              <a16:creationId xmlns:a16="http://schemas.microsoft.com/office/drawing/2014/main" id="{C5668C7B-5075-43B8-B944-F0C19F342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37</xdr:row>
      <xdr:rowOff>88673</xdr:rowOff>
    </xdr:from>
    <xdr:to>
      <xdr:col>0</xdr:col>
      <xdr:colOff>4559300</xdr:colOff>
      <xdr:row>51</xdr:row>
      <xdr:rowOff>164873</xdr:rowOff>
    </xdr:to>
    <xdr:graphicFrame macro="">
      <xdr:nvGraphicFramePr>
        <xdr:cNvPr id="13" name="Diagram 12">
          <a:extLst>
            <a:ext uri="{FF2B5EF4-FFF2-40B4-BE49-F238E27FC236}">
              <a16:creationId xmlns:a16="http://schemas.microsoft.com/office/drawing/2014/main" id="{36395912-D829-CC4E-9930-C65B67433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1666875</xdr:colOff>
      <xdr:row>73</xdr:row>
      <xdr:rowOff>80962</xdr:rowOff>
    </xdr:from>
    <xdr:to>
      <xdr:col>5</xdr:col>
      <xdr:colOff>304800</xdr:colOff>
      <xdr:row>95</xdr:row>
      <xdr:rowOff>38100</xdr:rowOff>
    </xdr:to>
    <xdr:graphicFrame macro="">
      <xdr:nvGraphicFramePr>
        <xdr:cNvPr id="4" name="Diagram 3">
          <a:extLst>
            <a:ext uri="{FF2B5EF4-FFF2-40B4-BE49-F238E27FC236}">
              <a16:creationId xmlns:a16="http://schemas.microsoft.com/office/drawing/2014/main" id="{D89CBC37-41E0-697B-4FE5-3CEF52B42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444500</xdr:colOff>
      <xdr:row>37</xdr:row>
      <xdr:rowOff>81643</xdr:rowOff>
    </xdr:from>
    <xdr:to>
      <xdr:col>9</xdr:col>
      <xdr:colOff>141514</xdr:colOff>
      <xdr:row>51</xdr:row>
      <xdr:rowOff>157843</xdr:rowOff>
    </xdr:to>
    <xdr:graphicFrame macro="">
      <xdr:nvGraphicFramePr>
        <xdr:cNvPr id="3" name="Diagram 2">
          <a:extLst>
            <a:ext uri="{FF2B5EF4-FFF2-40B4-BE49-F238E27FC236}">
              <a16:creationId xmlns:a16="http://schemas.microsoft.com/office/drawing/2014/main" id="{0E108D6E-037F-4574-86FE-A9A9D3A98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24</xdr:col>
      <xdr:colOff>0</xdr:colOff>
      <xdr:row>34</xdr:row>
      <xdr:rowOff>112712</xdr:rowOff>
    </xdr:from>
    <xdr:to>
      <xdr:col>31</xdr:col>
      <xdr:colOff>444500</xdr:colOff>
      <xdr:row>50</xdr:row>
      <xdr:rowOff>120650</xdr:rowOff>
    </xdr:to>
    <xdr:graphicFrame macro="">
      <xdr:nvGraphicFramePr>
        <xdr:cNvPr id="2" name="Diagram 1">
          <a:extLst>
            <a:ext uri="{FF2B5EF4-FFF2-40B4-BE49-F238E27FC236}">
              <a16:creationId xmlns:a16="http://schemas.microsoft.com/office/drawing/2014/main" id="{5D92F125-5608-D857-0F5C-B90FA28CF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600075</xdr:colOff>
      <xdr:row>18</xdr:row>
      <xdr:rowOff>111125</xdr:rowOff>
    </xdr:from>
    <xdr:to>
      <xdr:col>31</xdr:col>
      <xdr:colOff>295275</xdr:colOff>
      <xdr:row>33</xdr:row>
      <xdr:rowOff>85725</xdr:rowOff>
    </xdr:to>
    <xdr:graphicFrame macro="">
      <xdr:nvGraphicFramePr>
        <xdr:cNvPr id="11" name="Diagram 10">
          <a:extLst>
            <a:ext uri="{FF2B5EF4-FFF2-40B4-BE49-F238E27FC236}">
              <a16:creationId xmlns:a16="http://schemas.microsoft.com/office/drawing/2014/main" id="{C554C775-DD4D-4E22-A922-F1DADE24D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244475</xdr:colOff>
      <xdr:row>70</xdr:row>
      <xdr:rowOff>17462</xdr:rowOff>
    </xdr:from>
    <xdr:to>
      <xdr:col>10</xdr:col>
      <xdr:colOff>549275</xdr:colOff>
      <xdr:row>84</xdr:row>
      <xdr:rowOff>96837</xdr:rowOff>
    </xdr:to>
    <xdr:graphicFrame macro="">
      <xdr:nvGraphicFramePr>
        <xdr:cNvPr id="6" name="Diagram 5">
          <a:extLst>
            <a:ext uri="{FF2B5EF4-FFF2-40B4-BE49-F238E27FC236}">
              <a16:creationId xmlns:a16="http://schemas.microsoft.com/office/drawing/2014/main" id="{1173B48A-01BB-1A53-2856-49E05791C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28575</xdr:colOff>
      <xdr:row>16</xdr:row>
      <xdr:rowOff>49212</xdr:rowOff>
    </xdr:from>
    <xdr:to>
      <xdr:col>11</xdr:col>
      <xdr:colOff>123825</xdr:colOff>
      <xdr:row>30</xdr:row>
      <xdr:rowOff>142875</xdr:rowOff>
    </xdr:to>
    <xdr:graphicFrame macro="">
      <xdr:nvGraphicFramePr>
        <xdr:cNvPr id="8" name="Diagram 7">
          <a:extLst>
            <a:ext uri="{FF2B5EF4-FFF2-40B4-BE49-F238E27FC236}">
              <a16:creationId xmlns:a16="http://schemas.microsoft.com/office/drawing/2014/main" id="{90117008-55E2-E876-AC7C-BA700E0E4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314325</xdr:colOff>
      <xdr:row>3</xdr:row>
      <xdr:rowOff>23812</xdr:rowOff>
    </xdr:from>
    <xdr:to>
      <xdr:col>14</xdr:col>
      <xdr:colOff>314325</xdr:colOff>
      <xdr:row>17</xdr:row>
      <xdr:rowOff>100012</xdr:rowOff>
    </xdr:to>
    <xdr:graphicFrame macro="">
      <xdr:nvGraphicFramePr>
        <xdr:cNvPr id="2" name="Diagram 1">
          <a:extLst>
            <a:ext uri="{FF2B5EF4-FFF2-40B4-BE49-F238E27FC236}">
              <a16:creationId xmlns:a16="http://schemas.microsoft.com/office/drawing/2014/main" id="{7747A67B-39FC-4695-0178-9E49D8B5E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xdr:row>
      <xdr:rowOff>180975</xdr:rowOff>
    </xdr:from>
    <xdr:to>
      <xdr:col>21</xdr:col>
      <xdr:colOff>0</xdr:colOff>
      <xdr:row>17</xdr:row>
      <xdr:rowOff>66675</xdr:rowOff>
    </xdr:to>
    <xdr:graphicFrame macro="">
      <xdr:nvGraphicFramePr>
        <xdr:cNvPr id="7" name="Diagram 6">
          <a:extLst>
            <a:ext uri="{FF2B5EF4-FFF2-40B4-BE49-F238E27FC236}">
              <a16:creationId xmlns:a16="http://schemas.microsoft.com/office/drawing/2014/main" id="{E5E7BC72-E6E6-4673-8E8D-E5337846C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0</xdr:colOff>
      <xdr:row>3</xdr:row>
      <xdr:rowOff>0</xdr:rowOff>
    </xdr:from>
    <xdr:to>
      <xdr:col>28</xdr:col>
      <xdr:colOff>0</xdr:colOff>
      <xdr:row>17</xdr:row>
      <xdr:rowOff>76200</xdr:rowOff>
    </xdr:to>
    <xdr:graphicFrame macro="">
      <xdr:nvGraphicFramePr>
        <xdr:cNvPr id="8" name="Diagram 7">
          <a:extLst>
            <a:ext uri="{FF2B5EF4-FFF2-40B4-BE49-F238E27FC236}">
              <a16:creationId xmlns:a16="http://schemas.microsoft.com/office/drawing/2014/main" id="{63E2CCA3-639F-4D38-82C7-DC3F0FB6D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381000</xdr:colOff>
      <xdr:row>17</xdr:row>
      <xdr:rowOff>95250</xdr:rowOff>
    </xdr:from>
    <xdr:to>
      <xdr:col>14</xdr:col>
      <xdr:colOff>381000</xdr:colOff>
      <xdr:row>31</xdr:row>
      <xdr:rowOff>171450</xdr:rowOff>
    </xdr:to>
    <xdr:graphicFrame macro="">
      <xdr:nvGraphicFramePr>
        <xdr:cNvPr id="9" name="Diagram 8">
          <a:extLst>
            <a:ext uri="{FF2B5EF4-FFF2-40B4-BE49-F238E27FC236}">
              <a16:creationId xmlns:a16="http://schemas.microsoft.com/office/drawing/2014/main" id="{75EEE87B-647C-4E44-8D2A-D8E881A6B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33</xdr:row>
      <xdr:rowOff>0</xdr:rowOff>
    </xdr:from>
    <xdr:to>
      <xdr:col>15</xdr:col>
      <xdr:colOff>0</xdr:colOff>
      <xdr:row>47</xdr:row>
      <xdr:rowOff>76200</xdr:rowOff>
    </xdr:to>
    <xdr:graphicFrame macro="">
      <xdr:nvGraphicFramePr>
        <xdr:cNvPr id="10" name="Diagram 9">
          <a:extLst>
            <a:ext uri="{FF2B5EF4-FFF2-40B4-BE49-F238E27FC236}">
              <a16:creationId xmlns:a16="http://schemas.microsoft.com/office/drawing/2014/main" id="{DEFD22A7-7655-44CC-91AE-F39E6AF9B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733425</xdr:colOff>
      <xdr:row>2</xdr:row>
      <xdr:rowOff>176212</xdr:rowOff>
    </xdr:from>
    <xdr:to>
      <xdr:col>12</xdr:col>
      <xdr:colOff>733425</xdr:colOff>
      <xdr:row>17</xdr:row>
      <xdr:rowOff>61912</xdr:rowOff>
    </xdr:to>
    <xdr:graphicFrame macro="">
      <xdr:nvGraphicFramePr>
        <xdr:cNvPr id="2" name="Diagram 1">
          <a:extLst>
            <a:ext uri="{FF2B5EF4-FFF2-40B4-BE49-F238E27FC236}">
              <a16:creationId xmlns:a16="http://schemas.microsoft.com/office/drawing/2014/main" id="{6E68ED11-1B35-A299-7133-1125CE949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276225</xdr:colOff>
      <xdr:row>2</xdr:row>
      <xdr:rowOff>171450</xdr:rowOff>
    </xdr:from>
    <xdr:to>
      <xdr:col>19</xdr:col>
      <xdr:colOff>276225</xdr:colOff>
      <xdr:row>17</xdr:row>
      <xdr:rowOff>57150</xdr:rowOff>
    </xdr:to>
    <xdr:graphicFrame macro="">
      <xdr:nvGraphicFramePr>
        <xdr:cNvPr id="3" name="Diagram 2">
          <a:extLst>
            <a:ext uri="{FF2B5EF4-FFF2-40B4-BE49-F238E27FC236}">
              <a16:creationId xmlns:a16="http://schemas.microsoft.com/office/drawing/2014/main" id="{08B9A5D0-98A2-4BAB-B5C5-CDFF6330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619125</xdr:colOff>
      <xdr:row>31</xdr:row>
      <xdr:rowOff>96837</xdr:rowOff>
    </xdr:from>
    <xdr:to>
      <xdr:col>6</xdr:col>
      <xdr:colOff>619125</xdr:colOff>
      <xdr:row>46</xdr:row>
      <xdr:rowOff>7937</xdr:rowOff>
    </xdr:to>
    <xdr:graphicFrame macro="">
      <xdr:nvGraphicFramePr>
        <xdr:cNvPr id="4" name="Diagram 3">
          <a:extLst>
            <a:ext uri="{FF2B5EF4-FFF2-40B4-BE49-F238E27FC236}">
              <a16:creationId xmlns:a16="http://schemas.microsoft.com/office/drawing/2014/main" id="{DB7D98AA-E63A-F482-5C71-79231F34C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3</xdr:row>
      <xdr:rowOff>0</xdr:rowOff>
    </xdr:from>
    <xdr:to>
      <xdr:col>26</xdr:col>
      <xdr:colOff>0</xdr:colOff>
      <xdr:row>17</xdr:row>
      <xdr:rowOff>76200</xdr:rowOff>
    </xdr:to>
    <xdr:graphicFrame macro="">
      <xdr:nvGraphicFramePr>
        <xdr:cNvPr id="7" name="Diagram 6">
          <a:extLst>
            <a:ext uri="{FF2B5EF4-FFF2-40B4-BE49-F238E27FC236}">
              <a16:creationId xmlns:a16="http://schemas.microsoft.com/office/drawing/2014/main" id="{E7F5FE44-48DF-45B6-999D-D9B4EDD08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320675</xdr:colOff>
      <xdr:row>57</xdr:row>
      <xdr:rowOff>34925</xdr:rowOff>
    </xdr:from>
    <xdr:to>
      <xdr:col>13</xdr:col>
      <xdr:colOff>320675</xdr:colOff>
      <xdr:row>72</xdr:row>
      <xdr:rowOff>57150</xdr:rowOff>
    </xdr:to>
    <xdr:graphicFrame macro="">
      <xdr:nvGraphicFramePr>
        <xdr:cNvPr id="10" name="Diagram 9">
          <a:extLst>
            <a:ext uri="{FF2B5EF4-FFF2-40B4-BE49-F238E27FC236}">
              <a16:creationId xmlns:a16="http://schemas.microsoft.com/office/drawing/2014/main" id="{51D440E4-8BF4-40B7-9273-120F3D2FC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485775</xdr:colOff>
      <xdr:row>57</xdr:row>
      <xdr:rowOff>28575</xdr:rowOff>
    </xdr:from>
    <xdr:to>
      <xdr:col>19</xdr:col>
      <xdr:colOff>485775</xdr:colOff>
      <xdr:row>72</xdr:row>
      <xdr:rowOff>60325</xdr:rowOff>
    </xdr:to>
    <xdr:graphicFrame macro="">
      <xdr:nvGraphicFramePr>
        <xdr:cNvPr id="11" name="Diagram 10">
          <a:extLst>
            <a:ext uri="{FF2B5EF4-FFF2-40B4-BE49-F238E27FC236}">
              <a16:creationId xmlns:a16="http://schemas.microsoft.com/office/drawing/2014/main" id="{E4D102ED-318B-4346-9876-B773C6246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438150</xdr:colOff>
      <xdr:row>74</xdr:row>
      <xdr:rowOff>161925</xdr:rowOff>
    </xdr:from>
    <xdr:to>
      <xdr:col>6</xdr:col>
      <xdr:colOff>438150</xdr:colOff>
      <xdr:row>89</xdr:row>
      <xdr:rowOff>187325</xdr:rowOff>
    </xdr:to>
    <xdr:graphicFrame macro="">
      <xdr:nvGraphicFramePr>
        <xdr:cNvPr id="12" name="Diagram 11">
          <a:extLst>
            <a:ext uri="{FF2B5EF4-FFF2-40B4-BE49-F238E27FC236}">
              <a16:creationId xmlns:a16="http://schemas.microsoft.com/office/drawing/2014/main" id="{C654F1D9-0667-4FB6-8C06-D1DEB6B67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9525</xdr:colOff>
      <xdr:row>75</xdr:row>
      <xdr:rowOff>28575</xdr:rowOff>
    </xdr:from>
    <xdr:to>
      <xdr:col>19</xdr:col>
      <xdr:colOff>9525</xdr:colOff>
      <xdr:row>90</xdr:row>
      <xdr:rowOff>57150</xdr:rowOff>
    </xdr:to>
    <xdr:graphicFrame macro="">
      <xdr:nvGraphicFramePr>
        <xdr:cNvPr id="13" name="Diagram 12">
          <a:extLst>
            <a:ext uri="{FF2B5EF4-FFF2-40B4-BE49-F238E27FC236}">
              <a16:creationId xmlns:a16="http://schemas.microsoft.com/office/drawing/2014/main" id="{F12D28FC-EB3D-47FD-852B-5CFEE232F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592137</xdr:colOff>
      <xdr:row>74</xdr:row>
      <xdr:rowOff>173037</xdr:rowOff>
    </xdr:from>
    <xdr:to>
      <xdr:col>12</xdr:col>
      <xdr:colOff>592137</xdr:colOff>
      <xdr:row>90</xdr:row>
      <xdr:rowOff>17462</xdr:rowOff>
    </xdr:to>
    <xdr:graphicFrame macro="">
      <xdr:nvGraphicFramePr>
        <xdr:cNvPr id="14" name="Diagram 13">
          <a:extLst>
            <a:ext uri="{FF2B5EF4-FFF2-40B4-BE49-F238E27FC236}">
              <a16:creationId xmlns:a16="http://schemas.microsoft.com/office/drawing/2014/main" id="{C7FF1B9B-FA7E-8784-1B0C-EDB2DA080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485775</xdr:colOff>
      <xdr:row>17</xdr:row>
      <xdr:rowOff>122237</xdr:rowOff>
    </xdr:from>
    <xdr:to>
      <xdr:col>13</xdr:col>
      <xdr:colOff>485775</xdr:colOff>
      <xdr:row>32</xdr:row>
      <xdr:rowOff>20637</xdr:rowOff>
    </xdr:to>
    <xdr:graphicFrame macro="">
      <xdr:nvGraphicFramePr>
        <xdr:cNvPr id="8" name="Diagram 7">
          <a:extLst>
            <a:ext uri="{FF2B5EF4-FFF2-40B4-BE49-F238E27FC236}">
              <a16:creationId xmlns:a16="http://schemas.microsoft.com/office/drawing/2014/main" id="{5856251E-CF9C-0BDF-C38A-17FADD405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130175</xdr:colOff>
      <xdr:row>20</xdr:row>
      <xdr:rowOff>47625</xdr:rowOff>
    </xdr:from>
    <xdr:to>
      <xdr:col>20</xdr:col>
      <xdr:colOff>130175</xdr:colOff>
      <xdr:row>34</xdr:row>
      <xdr:rowOff>120650</xdr:rowOff>
    </xdr:to>
    <xdr:graphicFrame macro="">
      <xdr:nvGraphicFramePr>
        <xdr:cNvPr id="9" name="Diagram 8">
          <a:extLst>
            <a:ext uri="{FF2B5EF4-FFF2-40B4-BE49-F238E27FC236}">
              <a16:creationId xmlns:a16="http://schemas.microsoft.com/office/drawing/2014/main" id="{5876A4B6-3A1E-44A0-BB6B-216180091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6350</xdr:colOff>
      <xdr:row>25</xdr:row>
      <xdr:rowOff>95250</xdr:rowOff>
    </xdr:from>
    <xdr:to>
      <xdr:col>27</xdr:col>
      <xdr:colOff>6350</xdr:colOff>
      <xdr:row>40</xdr:row>
      <xdr:rowOff>0</xdr:rowOff>
    </xdr:to>
    <xdr:graphicFrame macro="">
      <xdr:nvGraphicFramePr>
        <xdr:cNvPr id="6" name="Diagram 5">
          <a:extLst>
            <a:ext uri="{FF2B5EF4-FFF2-40B4-BE49-F238E27FC236}">
              <a16:creationId xmlns:a16="http://schemas.microsoft.com/office/drawing/2014/main" id="{4F719FB4-23AD-46D7-8B95-CE5C99F0C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name="Office Theme">
  <a:themeElements>
    <a:clrScheme name="NVE_2018_nye_farger">
      <a:dk1>
        <a:srgbClr val="000000"/>
      </a:dk1>
      <a:lt1>
        <a:srgbClr val="FFFFFF"/>
      </a:lt1>
      <a:dk2>
        <a:srgbClr val="4C4D4F"/>
      </a:dk2>
      <a:lt2>
        <a:srgbClr val="E6E7E7"/>
      </a:lt2>
      <a:accent1>
        <a:srgbClr val="CD1232"/>
      </a:accent1>
      <a:accent2>
        <a:srgbClr val="00667E"/>
      </a:accent2>
      <a:accent3>
        <a:srgbClr val="0096A7"/>
      </a:accent3>
      <a:accent4>
        <a:srgbClr val="A3D0CA"/>
      </a:accent4>
      <a:accent5>
        <a:srgbClr val="ACC282"/>
      </a:accent5>
      <a:accent6>
        <a:srgbClr val="E96956"/>
      </a:accent6>
      <a:hlink>
        <a:srgbClr val="00667E"/>
      </a:hlink>
      <a:folHlink>
        <a:srgbClr val="83848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sb.no/befolkning/barn-familier-og-husholdninger/statistikk/familier-og-husholdninger"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A220-C728-4FA9-9BC7-B8E9E3B44572}">
  <dimension ref="B3:AA45"/>
  <sheetViews>
    <sheetView tabSelected="1" workbookViewId="0">
      <selection activeCell="P5" sqref="P5"/>
    </sheetView>
  </sheetViews>
  <sheetFormatPr baseColWidth="10" defaultColWidth="11.42578125" defaultRowHeight="15" x14ac:dyDescent="0.25"/>
  <cols>
    <col min="3" max="3" width="13.28515625" bestFit="1" customWidth="1"/>
    <col min="4" max="4" width="30.28515625" customWidth="1"/>
    <col min="5" max="5" width="15" customWidth="1"/>
    <col min="7" max="9" width="10.7109375" customWidth="1"/>
    <col min="10" max="25" width="7.28515625" bestFit="1" customWidth="1"/>
  </cols>
  <sheetData>
    <row r="3" spans="2:25" x14ac:dyDescent="0.25">
      <c r="B3" t="s">
        <v>0</v>
      </c>
      <c r="C3" t="s">
        <v>1</v>
      </c>
      <c r="D3" t="s">
        <v>2</v>
      </c>
      <c r="E3" t="s">
        <v>3</v>
      </c>
      <c r="F3" t="s">
        <v>4</v>
      </c>
      <c r="G3" t="s">
        <v>5</v>
      </c>
    </row>
    <row r="4" spans="2:25" x14ac:dyDescent="0.25">
      <c r="B4" t="s">
        <v>6</v>
      </c>
      <c r="C4" s="11"/>
      <c r="D4" t="s">
        <v>7</v>
      </c>
      <c r="E4" s="11">
        <v>15000</v>
      </c>
      <c r="F4" s="11">
        <v>2649395</v>
      </c>
      <c r="G4" s="16" t="s">
        <v>8</v>
      </c>
    </row>
    <row r="5" spans="2:25" x14ac:dyDescent="0.25">
      <c r="B5" s="44" t="s">
        <v>6</v>
      </c>
      <c r="C5" s="43">
        <f>+E5*F5/1000000</f>
        <v>38333.550300000003</v>
      </c>
      <c r="D5" t="s">
        <v>161</v>
      </c>
      <c r="E5" s="11">
        <v>6900</v>
      </c>
      <c r="F5" s="11">
        <v>5555587</v>
      </c>
      <c r="G5" s="16"/>
    </row>
    <row r="6" spans="2:25" x14ac:dyDescent="0.25">
      <c r="B6" s="44" t="s">
        <v>9</v>
      </c>
      <c r="C6" s="43">
        <v>2000</v>
      </c>
      <c r="D6" t="s">
        <v>10</v>
      </c>
    </row>
    <row r="7" spans="2:25" x14ac:dyDescent="0.25">
      <c r="B7" s="44" t="s">
        <v>11</v>
      </c>
      <c r="C7" s="43">
        <f>+E7*F7/1000000</f>
        <v>4875</v>
      </c>
      <c r="D7" t="s">
        <v>12</v>
      </c>
      <c r="E7" s="11">
        <v>3900</v>
      </c>
      <c r="F7" s="11">
        <v>1250000</v>
      </c>
    </row>
    <row r="8" spans="2:25" x14ac:dyDescent="0.25">
      <c r="B8" s="44" t="s">
        <v>13</v>
      </c>
      <c r="C8" s="43">
        <f>+VP!$H$25</f>
        <v>13490.195363194727</v>
      </c>
      <c r="D8" t="s">
        <v>14</v>
      </c>
    </row>
    <row r="9" spans="2:25" x14ac:dyDescent="0.25">
      <c r="C9" s="11"/>
    </row>
    <row r="10" spans="2:25" x14ac:dyDescent="0.25">
      <c r="B10" s="44" t="s">
        <v>15</v>
      </c>
      <c r="C10" s="44" t="s">
        <v>1</v>
      </c>
      <c r="D10" t="s">
        <v>2</v>
      </c>
      <c r="E10" t="s">
        <v>3</v>
      </c>
      <c r="F10" t="s">
        <v>4</v>
      </c>
      <c r="G10" t="s">
        <v>5</v>
      </c>
    </row>
    <row r="11" spans="2:25" x14ac:dyDescent="0.25">
      <c r="B11" s="44" t="s">
        <v>6</v>
      </c>
      <c r="C11" s="43">
        <f>+E11*F11/1000000</f>
        <v>23889.024099999999</v>
      </c>
      <c r="D11" t="s">
        <v>16</v>
      </c>
      <c r="E11" s="11">
        <v>4300</v>
      </c>
      <c r="F11" s="11">
        <f>+F5</f>
        <v>5555587</v>
      </c>
    </row>
    <row r="12" spans="2:25" x14ac:dyDescent="0.25">
      <c r="B12" s="44" t="s">
        <v>9</v>
      </c>
      <c r="C12" s="43">
        <v>4200</v>
      </c>
      <c r="D12" t="s">
        <v>10</v>
      </c>
    </row>
    <row r="13" spans="2:25" x14ac:dyDescent="0.25">
      <c r="B13" s="44" t="s">
        <v>13</v>
      </c>
      <c r="C13" s="43">
        <v>7000</v>
      </c>
      <c r="D13" t="s">
        <v>14</v>
      </c>
    </row>
    <row r="15" spans="2:25" x14ac:dyDescent="0.25">
      <c r="C15" t="s">
        <v>43</v>
      </c>
      <c r="E15" s="5" t="s">
        <v>18</v>
      </c>
      <c r="F15" s="5" t="s">
        <v>19</v>
      </c>
      <c r="G15" s="5" t="s">
        <v>20</v>
      </c>
      <c r="H15" s="5" t="s">
        <v>21</v>
      </c>
      <c r="I15" s="5" t="s">
        <v>22</v>
      </c>
      <c r="J15" s="5" t="s">
        <v>23</v>
      </c>
      <c r="K15" s="5" t="s">
        <v>24</v>
      </c>
      <c r="L15" s="5" t="s">
        <v>25</v>
      </c>
      <c r="M15" s="5" t="s">
        <v>26</v>
      </c>
      <c r="N15" s="5" t="s">
        <v>27</v>
      </c>
      <c r="O15" s="5" t="s">
        <v>28</v>
      </c>
      <c r="P15" s="5" t="s">
        <v>29</v>
      </c>
      <c r="Q15" s="5" t="s">
        <v>30</v>
      </c>
      <c r="R15" s="5" t="s">
        <v>31</v>
      </c>
      <c r="S15" s="5" t="s">
        <v>32</v>
      </c>
      <c r="T15" s="5" t="s">
        <v>33</v>
      </c>
      <c r="U15" s="5" t="s">
        <v>34</v>
      </c>
      <c r="V15" s="5" t="s">
        <v>35</v>
      </c>
      <c r="W15" s="5" t="s">
        <v>36</v>
      </c>
      <c r="X15" s="5">
        <v>2024</v>
      </c>
      <c r="Y15" s="5">
        <v>2025</v>
      </c>
    </row>
    <row r="16" spans="2:25" x14ac:dyDescent="0.25">
      <c r="C16" t="s">
        <v>37</v>
      </c>
      <c r="D16" t="s">
        <v>38</v>
      </c>
      <c r="E16" s="24">
        <f>+Elektrisitet!B22-'Vårt 2025'!E17</f>
        <v>32679.061865138196</v>
      </c>
      <c r="F16" s="24">
        <f>+Elektrisitet!C22-'Vårt 2025'!F17</f>
        <v>32404.970650101775</v>
      </c>
      <c r="G16" s="24">
        <f>+Elektrisitet!D22-'Vårt 2025'!G17</f>
        <v>32544.1527187313</v>
      </c>
      <c r="H16" s="24">
        <f>+Elektrisitet!E22-'Vårt 2025'!H17</f>
        <v>32287.730859637162</v>
      </c>
      <c r="I16" s="24">
        <f>+Elektrisitet!F22-'Vårt 2025'!I17</f>
        <v>32319.361995416883</v>
      </c>
      <c r="J16" s="24">
        <f>+Elektrisitet!G22-'Vårt 2025'!J17</f>
        <v>31768.153766661206</v>
      </c>
      <c r="K16" s="24">
        <f>+Elektrisitet!H22-'Vårt 2025'!K17</f>
        <v>32519.170866253804</v>
      </c>
      <c r="L16" s="24">
        <f>+Elektrisitet!I22-'Vårt 2025'!L17</f>
        <v>32312.35325092918</v>
      </c>
      <c r="M16" s="24">
        <f>+Elektrisitet!J22-'Vårt 2025'!M17</f>
        <v>33012.527789842061</v>
      </c>
      <c r="N16" s="24">
        <f>+Elektrisitet!K22-'Vårt 2025'!N17</f>
        <v>33838.323287509134</v>
      </c>
      <c r="O16" s="24">
        <f>+Elektrisitet!L22-'Vårt 2025'!O17</f>
        <v>34388.544920916793</v>
      </c>
      <c r="P16" s="24">
        <f>+Elektrisitet!M22-'Vårt 2025'!P17</f>
        <v>34320.345748253661</v>
      </c>
      <c r="Q16" s="24">
        <f>+Elektrisitet!N22-'Vårt 2025'!Q17</f>
        <v>34151.884925316874</v>
      </c>
      <c r="R16" s="24">
        <f>+Elektrisitet!O22-'Vårt 2025'!R17</f>
        <v>34156.750384351144</v>
      </c>
      <c r="S16" s="24">
        <f>+Elektrisitet!P22-'Vårt 2025'!S17</f>
        <v>33562.906813717949</v>
      </c>
      <c r="T16" s="24">
        <f>+Elektrisitet!Q22-'Vårt 2025'!T17</f>
        <v>36008.998207541837</v>
      </c>
      <c r="U16" s="24">
        <f>+Elektrisitet!R22-'Vårt 2025'!U17</f>
        <v>34067.666882664998</v>
      </c>
      <c r="V16" s="24">
        <f>+Elektrisitet!S22-'Vårt 2025'!V17</f>
        <v>30005.175470687587</v>
      </c>
      <c r="W16" s="24">
        <f>+Elektrisitet!T22-'Vårt 2025'!W17</f>
        <v>30458.64127891387</v>
      </c>
      <c r="X16" s="24">
        <f>+Elektrisitet!U22-'Vårt 2025'!X17</f>
        <v>32266.985279998698</v>
      </c>
      <c r="Y16" s="24">
        <f>+C5-Y17</f>
        <v>31821.610440935598</v>
      </c>
    </row>
    <row r="17" spans="3:27" x14ac:dyDescent="0.25">
      <c r="C17" t="s">
        <v>37</v>
      </c>
      <c r="D17" t="s">
        <v>170</v>
      </c>
      <c r="E17" s="24">
        <v>789.69483505039398</v>
      </c>
      <c r="F17" s="24">
        <v>1141.4858637598272</v>
      </c>
      <c r="G17" s="24">
        <v>1460.3941561485735</v>
      </c>
      <c r="H17" s="24">
        <v>1836.356692527316</v>
      </c>
      <c r="I17" s="24">
        <v>2200.2665459471832</v>
      </c>
      <c r="J17" s="24">
        <v>2608.0766245075724</v>
      </c>
      <c r="K17" s="24">
        <v>2975.1720933433635</v>
      </c>
      <c r="L17" s="24">
        <v>3240.1165607310727</v>
      </c>
      <c r="M17" s="24">
        <v>3465.6157901854749</v>
      </c>
      <c r="N17" s="24">
        <v>3646.1504082758552</v>
      </c>
      <c r="O17" s="24">
        <v>3836.3566687897792</v>
      </c>
      <c r="P17" s="24">
        <v>4034.496722207221</v>
      </c>
      <c r="Q17" s="24">
        <v>4231.0050900671285</v>
      </c>
      <c r="R17" s="24">
        <v>4489.4944881840138</v>
      </c>
      <c r="S17" s="24">
        <v>4744.4640385509056</v>
      </c>
      <c r="T17" s="24">
        <v>4910.6799200327823</v>
      </c>
      <c r="U17" s="24">
        <v>5205.0857410687322</v>
      </c>
      <c r="V17" s="24">
        <v>5599.2792459519342</v>
      </c>
      <c r="W17" s="24">
        <v>5981.6195897188391</v>
      </c>
      <c r="X17" s="24">
        <v>6276.8924152225381</v>
      </c>
      <c r="Y17" s="24">
        <v>6511.939859064405</v>
      </c>
      <c r="Z17" t="s">
        <v>168</v>
      </c>
    </row>
    <row r="18" spans="3:27" x14ac:dyDescent="0.25">
      <c r="C18" t="s">
        <v>37</v>
      </c>
      <c r="D18" t="str">
        <f>+D34</f>
        <v>Fjernvarme tempkorr</v>
      </c>
      <c r="E18" s="11">
        <v>439.74443418774467</v>
      </c>
      <c r="F18" s="11">
        <v>528.53623440828733</v>
      </c>
      <c r="G18" s="11">
        <v>579.0204118506233</v>
      </c>
      <c r="H18" s="11">
        <v>740.86858648389307</v>
      </c>
      <c r="I18" s="11">
        <v>746.18890355645306</v>
      </c>
      <c r="J18" s="11">
        <v>946.12660105075599</v>
      </c>
      <c r="K18" s="11">
        <v>828.48403211176606</v>
      </c>
      <c r="L18" s="11">
        <v>921.82416243067598</v>
      </c>
      <c r="M18" s="11">
        <v>1071.2213446937822</v>
      </c>
      <c r="N18" s="11">
        <v>1105.3602889179024</v>
      </c>
      <c r="O18" s="11">
        <v>1107.7000946084486</v>
      </c>
      <c r="P18" s="11">
        <v>1247.6686660121188</v>
      </c>
      <c r="Q18" s="11">
        <v>1395.4228405837823</v>
      </c>
      <c r="R18" s="11">
        <v>1442.1821038634966</v>
      </c>
      <c r="S18" s="11">
        <v>1587.3964693393614</v>
      </c>
      <c r="T18" s="11">
        <v>1644.0130795576872</v>
      </c>
      <c r="U18" s="11">
        <v>1732.0248349102835</v>
      </c>
      <c r="V18" s="11">
        <v>1759.1348757994631</v>
      </c>
      <c r="W18" s="11">
        <v>1926.5465601772275</v>
      </c>
      <c r="X18" s="11">
        <v>1984.0181945330669</v>
      </c>
      <c r="Y18" s="11">
        <f>+C6</f>
        <v>2000</v>
      </c>
    </row>
    <row r="19" spans="3:27" x14ac:dyDescent="0.25">
      <c r="C19" t="s">
        <v>37</v>
      </c>
      <c r="D19" t="s">
        <v>169</v>
      </c>
      <c r="E19" s="24">
        <f>+Bio!C9*1000</f>
        <v>6680.2639232115798</v>
      </c>
      <c r="F19" s="24">
        <f>+Bio!D9*1000</f>
        <v>6822.8881977416322</v>
      </c>
      <c r="G19" s="24">
        <f>+Bio!E9*1000</f>
        <v>6217.213688233458</v>
      </c>
      <c r="H19" s="24">
        <f>+Bio!F9*1000</f>
        <v>6238.8779925197769</v>
      </c>
      <c r="I19" s="24">
        <f>+Bio!G9*1000</f>
        <v>6160.2714565339102</v>
      </c>
      <c r="J19" s="24">
        <f>+Bio!H9*1000</f>
        <v>5845.0413714284523</v>
      </c>
      <c r="K19" s="24">
        <f>+Bio!I9*1000</f>
        <v>6576.877091451006</v>
      </c>
      <c r="L19" s="24">
        <f>+Bio!J9*1000</f>
        <v>6567.1589312858032</v>
      </c>
      <c r="M19" s="24">
        <f>+Bio!K9*1000</f>
        <v>4981.3455571371196</v>
      </c>
      <c r="N19" s="24">
        <f>+Bio!L9*1000</f>
        <v>4877.6285565451999</v>
      </c>
      <c r="O19" s="24">
        <f>+Bio!M9*1000</f>
        <v>4774.9763937767284</v>
      </c>
      <c r="P19" s="24">
        <f>+Bio!N9*1000</f>
        <v>4395.976839821973</v>
      </c>
      <c r="Q19" s="24">
        <f>+Bio!O9*1000</f>
        <v>4748.7120178544628</v>
      </c>
      <c r="R19" s="24">
        <f>+Bio!P9*1000</f>
        <v>4461.3996002565164</v>
      </c>
      <c r="S19" s="24">
        <f>+Bio!Q9*1000</f>
        <v>4034.3864624652001</v>
      </c>
      <c r="T19" s="24">
        <f>+Bio!R9*1000</f>
        <v>4718.3994769823767</v>
      </c>
      <c r="U19" s="24">
        <f>+Bio!S9*1000</f>
        <v>4947.0814705064722</v>
      </c>
      <c r="V19" s="24">
        <f>+Bio!T9*1000</f>
        <v>5599.9142377733197</v>
      </c>
      <c r="W19" s="24">
        <f>+Bio!U9*1000</f>
        <v>5065.0815548680339</v>
      </c>
      <c r="X19" s="24">
        <f>+Bio!V9*1000</f>
        <v>4869.4888891564278</v>
      </c>
      <c r="Y19" s="11">
        <f>+C7</f>
        <v>4875</v>
      </c>
      <c r="AA19" s="11"/>
    </row>
    <row r="20" spans="3:27" x14ac:dyDescent="0.25">
      <c r="C20" t="s">
        <v>15</v>
      </c>
      <c r="D20" t="s">
        <v>38</v>
      </c>
      <c r="E20" s="11"/>
      <c r="F20" s="24"/>
      <c r="G20" s="24"/>
      <c r="H20" s="24"/>
      <c r="I20" s="24"/>
      <c r="J20" s="24"/>
      <c r="K20" s="24"/>
      <c r="L20" s="24"/>
      <c r="M20" s="24"/>
      <c r="N20" s="24"/>
      <c r="O20" s="24">
        <f>+Elektrisitet!L33-'Vårt 2025'!O21</f>
        <v>23258.134336680043</v>
      </c>
      <c r="P20" s="24">
        <f>+Elektrisitet!M33-'Vårt 2025'!P21</f>
        <v>23311.351155160461</v>
      </c>
      <c r="Q20" s="24">
        <f>+Elektrisitet!N33-'Vårt 2025'!Q21</f>
        <v>23054.383448385441</v>
      </c>
      <c r="R20" s="24">
        <f>+Elektrisitet!O33-'Vårt 2025'!R21</f>
        <v>23464.413026195743</v>
      </c>
      <c r="S20" s="24">
        <f>+Elektrisitet!P33-'Vårt 2025'!S21</f>
        <v>22989.529343928138</v>
      </c>
      <c r="T20" s="24">
        <f>+Elektrisitet!Q33-'Vårt 2025'!T21</f>
        <v>23280.241524035442</v>
      </c>
      <c r="U20" s="24">
        <f>+Elektrisitet!R33-'Vårt 2025'!U21</f>
        <v>23210.958035739786</v>
      </c>
      <c r="V20" s="24">
        <f>+Elektrisitet!S33-'Vårt 2025'!V21</f>
        <v>21563.77213883444</v>
      </c>
      <c r="W20" s="24">
        <f>+Elektrisitet!T33-'Vårt 2025'!W21</f>
        <v>20391.287234430587</v>
      </c>
      <c r="X20" s="24">
        <f>+Elektrisitet!U33-'Vårt 2025'!X21</f>
        <v>20724.0781458809</v>
      </c>
      <c r="Y20" s="24">
        <f>+C11-Y21</f>
        <v>21184.275888629556</v>
      </c>
      <c r="AA20" s="11"/>
    </row>
    <row r="21" spans="3:27" x14ac:dyDescent="0.25">
      <c r="C21" t="s">
        <v>15</v>
      </c>
      <c r="D21" t="s">
        <v>170</v>
      </c>
      <c r="E21" s="11"/>
      <c r="F21" s="24">
        <v>581.4604242217747</v>
      </c>
      <c r="G21" s="24">
        <v>709.01289017075112</v>
      </c>
      <c r="H21" s="24">
        <v>862.71503372367636</v>
      </c>
      <c r="I21" s="24">
        <v>1010.9028550938159</v>
      </c>
      <c r="J21" s="24">
        <v>1166.7809437366113</v>
      </c>
      <c r="K21" s="24">
        <v>1322.9225671243703</v>
      </c>
      <c r="L21" s="24">
        <v>1444.2247546373981</v>
      </c>
      <c r="M21" s="24">
        <v>1554.4949883931054</v>
      </c>
      <c r="N21" s="24">
        <v>1657.2264653199652</v>
      </c>
      <c r="O21" s="24">
        <v>1755.4264936516574</v>
      </c>
      <c r="P21" s="24">
        <v>1855.4305817525367</v>
      </c>
      <c r="Q21" s="24">
        <v>1961.7272651409592</v>
      </c>
      <c r="R21" s="24">
        <v>2097.5451595025538</v>
      </c>
      <c r="S21" s="24">
        <v>2204.7120534087635</v>
      </c>
      <c r="T21" s="24">
        <v>2262.1038514969591</v>
      </c>
      <c r="U21" s="24">
        <v>2338.9720750894126</v>
      </c>
      <c r="V21" s="24">
        <v>2455.3639676340604</v>
      </c>
      <c r="W21" s="24">
        <v>2587.1852138480153</v>
      </c>
      <c r="X21" s="24">
        <v>2653</v>
      </c>
      <c r="Y21" s="24">
        <v>2704.7482113704409</v>
      </c>
      <c r="Z21" t="s">
        <v>168</v>
      </c>
      <c r="AA21" s="11"/>
    </row>
    <row r="22" spans="3:27" x14ac:dyDescent="0.25">
      <c r="C22" t="s">
        <v>15</v>
      </c>
      <c r="D22" t="str">
        <f t="shared" ref="D22:W22" si="0">+D38</f>
        <v>Fjernvarme tempkorr</v>
      </c>
      <c r="E22" s="11"/>
      <c r="F22" s="24">
        <f t="shared" si="0"/>
        <v>1934.6823029957179</v>
      </c>
      <c r="G22" s="24">
        <f t="shared" si="0"/>
        <v>2057.7215819550247</v>
      </c>
      <c r="H22" s="24">
        <f t="shared" si="0"/>
        <v>2091.8132244547819</v>
      </c>
      <c r="I22" s="24">
        <f t="shared" si="0"/>
        <v>2328.4075696193454</v>
      </c>
      <c r="J22" s="24">
        <f t="shared" si="0"/>
        <v>2565.2707344838236</v>
      </c>
      <c r="K22" s="24">
        <f t="shared" si="0"/>
        <v>2876.3436495497826</v>
      </c>
      <c r="L22" s="24">
        <f t="shared" si="0"/>
        <v>2904.7264928479535</v>
      </c>
      <c r="M22" s="24">
        <f t="shared" si="0"/>
        <v>3213.9851137501932</v>
      </c>
      <c r="N22" s="24">
        <f t="shared" si="0"/>
        <v>3383.58473391199</v>
      </c>
      <c r="O22" s="24">
        <f t="shared" si="0"/>
        <v>3376.2953735473498</v>
      </c>
      <c r="P22" s="24">
        <f t="shared" si="0"/>
        <v>3482.7672620062704</v>
      </c>
      <c r="Q22" s="24">
        <f t="shared" si="0"/>
        <v>3415.3785691506037</v>
      </c>
      <c r="R22" s="24">
        <f t="shared" si="0"/>
        <v>3654.4735047946142</v>
      </c>
      <c r="S22" s="24">
        <f t="shared" si="0"/>
        <v>3654.3985363357438</v>
      </c>
      <c r="T22" s="24">
        <f t="shared" si="0"/>
        <v>3476.882275143596</v>
      </c>
      <c r="U22" s="24">
        <f t="shared" si="0"/>
        <v>3850.697123721372</v>
      </c>
      <c r="V22" s="24">
        <f t="shared" si="0"/>
        <v>3834.486907127759</v>
      </c>
      <c r="W22" s="24">
        <f t="shared" si="0"/>
        <v>3999.5488810580187</v>
      </c>
      <c r="X22" s="11">
        <v>4113.4687353048312</v>
      </c>
      <c r="Y22" s="11">
        <f>+C12</f>
        <v>4200</v>
      </c>
      <c r="AA22" s="11"/>
    </row>
    <row r="23" spans="3:27" x14ac:dyDescent="0.25">
      <c r="E23" s="11"/>
      <c r="AA23" s="11"/>
    </row>
    <row r="24" spans="3:27" x14ac:dyDescent="0.25">
      <c r="D24" t="s">
        <v>37</v>
      </c>
      <c r="E24" s="24"/>
      <c r="F24" s="24"/>
      <c r="G24" s="24"/>
      <c r="H24" s="24"/>
      <c r="I24" s="24"/>
      <c r="J24" s="24"/>
      <c r="K24" s="24"/>
      <c r="L24" s="24"/>
      <c r="M24" s="24"/>
      <c r="N24" s="24"/>
      <c r="O24" s="24">
        <f t="shared" ref="O24:X24" si="1">+SUM(O16:O19)</f>
        <v>44107.578078091748</v>
      </c>
      <c r="P24" s="24">
        <f t="shared" si="1"/>
        <v>43998.487976294979</v>
      </c>
      <c r="Q24" s="24">
        <f t="shared" si="1"/>
        <v>44527.024873822251</v>
      </c>
      <c r="R24" s="24">
        <f t="shared" si="1"/>
        <v>44549.82657665517</v>
      </c>
      <c r="S24" s="24">
        <f t="shared" si="1"/>
        <v>43929.153784073416</v>
      </c>
      <c r="T24" s="24">
        <f t="shared" si="1"/>
        <v>47282.090684114679</v>
      </c>
      <c r="U24" s="24">
        <f t="shared" si="1"/>
        <v>45951.858929150483</v>
      </c>
      <c r="V24" s="24">
        <f t="shared" si="1"/>
        <v>42963.503830212307</v>
      </c>
      <c r="W24" s="24">
        <f t="shared" si="1"/>
        <v>43431.888983677971</v>
      </c>
      <c r="X24" s="24">
        <f t="shared" si="1"/>
        <v>45397.384778910731</v>
      </c>
      <c r="Y24" s="24">
        <f>+SUM(Y16:Y19)</f>
        <v>45208.550300000003</v>
      </c>
      <c r="AA24" s="11"/>
    </row>
    <row r="25" spans="3:27" x14ac:dyDescent="0.25">
      <c r="D25" t="s">
        <v>15</v>
      </c>
      <c r="E25" s="24"/>
      <c r="F25" s="24"/>
      <c r="G25" s="24"/>
      <c r="H25" s="24"/>
      <c r="I25" s="24"/>
      <c r="J25" s="24"/>
      <c r="K25" s="24"/>
      <c r="L25" s="24"/>
      <c r="M25" s="24"/>
      <c r="N25" s="24"/>
      <c r="O25" s="24">
        <f t="shared" ref="O25:Y25" si="2">+SUM(O20:O22)</f>
        <v>28389.856203879048</v>
      </c>
      <c r="P25" s="24">
        <f t="shared" si="2"/>
        <v>28649.548998919268</v>
      </c>
      <c r="Q25" s="24">
        <f t="shared" si="2"/>
        <v>28431.489282677001</v>
      </c>
      <c r="R25" s="24">
        <f t="shared" si="2"/>
        <v>29216.431690492915</v>
      </c>
      <c r="S25" s="24">
        <f t="shared" si="2"/>
        <v>28848.639933672643</v>
      </c>
      <c r="T25" s="24">
        <f t="shared" si="2"/>
        <v>29019.227650675995</v>
      </c>
      <c r="U25" s="24">
        <f t="shared" si="2"/>
        <v>29400.627234550571</v>
      </c>
      <c r="V25" s="24">
        <f t="shared" si="2"/>
        <v>27853.623013596261</v>
      </c>
      <c r="W25" s="24">
        <f t="shared" si="2"/>
        <v>26978.021329336621</v>
      </c>
      <c r="X25" s="24">
        <f t="shared" si="2"/>
        <v>27490.546881185732</v>
      </c>
      <c r="Y25" s="24">
        <f t="shared" si="2"/>
        <v>28089.024099999995</v>
      </c>
      <c r="AA25" s="11"/>
    </row>
    <row r="26" spans="3:27" x14ac:dyDescent="0.25">
      <c r="D26" t="s">
        <v>42</v>
      </c>
      <c r="E26" s="24"/>
      <c r="F26" s="24"/>
      <c r="G26" s="24"/>
      <c r="H26" s="24"/>
      <c r="I26" s="24"/>
      <c r="J26" s="24"/>
      <c r="K26" s="24"/>
      <c r="L26" s="24"/>
      <c r="M26" s="24"/>
      <c r="N26" s="24"/>
      <c r="O26" s="24">
        <f t="shared" ref="O26:Y26" si="3">+SUM(O16:O22)</f>
        <v>72497.434281970796</v>
      </c>
      <c r="P26" s="24">
        <f t="shared" si="3"/>
        <v>72648.036975214229</v>
      </c>
      <c r="Q26" s="24">
        <f t="shared" si="3"/>
        <v>72958.514156499252</v>
      </c>
      <c r="R26" s="24">
        <f t="shared" si="3"/>
        <v>73766.258267148078</v>
      </c>
      <c r="S26" s="24">
        <f t="shared" si="3"/>
        <v>72777.793717746055</v>
      </c>
      <c r="T26" s="24">
        <f t="shared" si="3"/>
        <v>76301.318334790674</v>
      </c>
      <c r="U26" s="24">
        <f t="shared" si="3"/>
        <v>75352.486163701062</v>
      </c>
      <c r="V26" s="24">
        <f t="shared" si="3"/>
        <v>70817.126843808568</v>
      </c>
      <c r="W26" s="24">
        <f t="shared" si="3"/>
        <v>70409.910313014581</v>
      </c>
      <c r="X26" s="24">
        <f t="shared" si="3"/>
        <v>72887.931660096467</v>
      </c>
      <c r="Y26" s="24">
        <f t="shared" si="3"/>
        <v>73297.574399999998</v>
      </c>
      <c r="AA26" s="11"/>
    </row>
    <row r="27" spans="3:27" x14ac:dyDescent="0.25">
      <c r="E27" s="24"/>
      <c r="F27" s="24"/>
      <c r="G27" s="24"/>
      <c r="H27" s="24"/>
      <c r="I27" s="24"/>
      <c r="J27" s="24"/>
      <c r="K27" s="24"/>
      <c r="L27" s="24"/>
      <c r="M27" s="24"/>
      <c r="N27" s="24"/>
      <c r="O27" s="24"/>
      <c r="P27" s="24"/>
      <c r="Q27" s="24"/>
      <c r="R27" s="24"/>
      <c r="S27" s="24"/>
      <c r="T27" s="24"/>
      <c r="U27" s="24"/>
      <c r="V27" s="24"/>
      <c r="W27" s="24"/>
      <c r="X27" s="24"/>
      <c r="Y27" s="24"/>
      <c r="AA27" s="11"/>
    </row>
    <row r="28" spans="3:27" x14ac:dyDescent="0.25">
      <c r="D28" t="s">
        <v>179</v>
      </c>
      <c r="E28" s="24"/>
      <c r="F28" s="24"/>
      <c r="G28" s="24"/>
      <c r="H28" s="24"/>
      <c r="I28" s="24"/>
      <c r="J28" s="24"/>
      <c r="K28" s="24"/>
      <c r="L28" s="24"/>
      <c r="M28" s="24"/>
      <c r="N28" s="24"/>
      <c r="O28" s="24">
        <f>+O16+O17+O20+O21</f>
        <v>63238.462420038268</v>
      </c>
      <c r="P28" s="24">
        <f t="shared" ref="P28:X28" si="4">+P16+P17+P20+P21</f>
        <v>63521.624207373883</v>
      </c>
      <c r="Q28" s="24">
        <f t="shared" si="4"/>
        <v>63399.000728910396</v>
      </c>
      <c r="R28" s="24">
        <f t="shared" si="4"/>
        <v>64208.203058233456</v>
      </c>
      <c r="S28" s="24">
        <f t="shared" si="4"/>
        <v>63501.612249605758</v>
      </c>
      <c r="T28" s="24">
        <f t="shared" si="4"/>
        <v>66462.023503107019</v>
      </c>
      <c r="U28" s="24">
        <f t="shared" si="4"/>
        <v>64822.682734562928</v>
      </c>
      <c r="V28" s="24">
        <f t="shared" si="4"/>
        <v>59623.590823108018</v>
      </c>
      <c r="W28" s="24">
        <f t="shared" si="4"/>
        <v>59418.733316911312</v>
      </c>
      <c r="X28" s="24">
        <f t="shared" si="4"/>
        <v>61920.955841102135</v>
      </c>
      <c r="Y28" s="24">
        <f>+Y16+Y17+Y20+Y21</f>
        <v>62222.574399999998</v>
      </c>
      <c r="AA28" s="11"/>
    </row>
    <row r="29" spans="3:27" x14ac:dyDescent="0.25">
      <c r="D29" t="s">
        <v>9</v>
      </c>
      <c r="E29" s="11"/>
      <c r="O29" s="24">
        <f>+O18+O22</f>
        <v>4483.9954681557983</v>
      </c>
      <c r="P29" s="24">
        <f t="shared" ref="P29:Y29" si="5">+P18+P22</f>
        <v>4730.4359280183889</v>
      </c>
      <c r="Q29" s="24">
        <f t="shared" si="5"/>
        <v>4810.8014097343857</v>
      </c>
      <c r="R29" s="24">
        <f t="shared" si="5"/>
        <v>5096.6556086581113</v>
      </c>
      <c r="S29" s="24">
        <f t="shared" si="5"/>
        <v>5241.7950056751051</v>
      </c>
      <c r="T29" s="24">
        <f t="shared" si="5"/>
        <v>5120.8953547012834</v>
      </c>
      <c r="U29" s="24">
        <f t="shared" si="5"/>
        <v>5582.7219586316551</v>
      </c>
      <c r="V29" s="24">
        <f t="shared" si="5"/>
        <v>5593.6217829272218</v>
      </c>
      <c r="W29" s="24">
        <f t="shared" si="5"/>
        <v>5926.0954412352457</v>
      </c>
      <c r="X29" s="24">
        <f t="shared" si="5"/>
        <v>6097.4869298378981</v>
      </c>
      <c r="Y29" s="24">
        <f t="shared" si="5"/>
        <v>6200</v>
      </c>
      <c r="AA29" s="11"/>
    </row>
    <row r="30" spans="3:27" x14ac:dyDescent="0.25">
      <c r="D30" t="s">
        <v>180</v>
      </c>
      <c r="E30" s="11"/>
      <c r="O30" s="24">
        <f>+O19</f>
        <v>4774.9763937767284</v>
      </c>
      <c r="P30" s="24">
        <f t="shared" ref="P30:Y30" si="6">+P19</f>
        <v>4395.976839821973</v>
      </c>
      <c r="Q30" s="24">
        <f t="shared" si="6"/>
        <v>4748.7120178544628</v>
      </c>
      <c r="R30" s="24">
        <f t="shared" si="6"/>
        <v>4461.3996002565164</v>
      </c>
      <c r="S30" s="24">
        <f t="shared" si="6"/>
        <v>4034.3864624652001</v>
      </c>
      <c r="T30" s="24">
        <f t="shared" si="6"/>
        <v>4718.3994769823767</v>
      </c>
      <c r="U30" s="24">
        <f t="shared" si="6"/>
        <v>4947.0814705064722</v>
      </c>
      <c r="V30" s="24">
        <f t="shared" si="6"/>
        <v>5599.9142377733197</v>
      </c>
      <c r="W30" s="24">
        <f t="shared" si="6"/>
        <v>5065.0815548680339</v>
      </c>
      <c r="X30" s="24">
        <f t="shared" si="6"/>
        <v>4869.4888891564278</v>
      </c>
      <c r="Y30" s="24">
        <f t="shared" si="6"/>
        <v>4875</v>
      </c>
      <c r="AA30" s="11"/>
    </row>
    <row r="31" spans="3:27" x14ac:dyDescent="0.25">
      <c r="E31" s="11"/>
      <c r="O31" s="24"/>
      <c r="P31" s="24"/>
      <c r="Q31" s="24"/>
      <c r="R31" s="24"/>
      <c r="S31" s="24"/>
      <c r="T31" s="24"/>
      <c r="U31" s="24"/>
      <c r="V31" s="24"/>
      <c r="W31" s="24"/>
      <c r="X31" s="24"/>
      <c r="Y31" s="24"/>
      <c r="AA31" s="11"/>
    </row>
    <row r="32" spans="3:27" x14ac:dyDescent="0.25">
      <c r="E32" s="11"/>
      <c r="AA32" s="11"/>
    </row>
    <row r="33" spans="3:27" x14ac:dyDescent="0.25">
      <c r="C33" t="s">
        <v>17</v>
      </c>
      <c r="E33" s="5">
        <v>2005</v>
      </c>
      <c r="F33" s="5" t="s">
        <v>19</v>
      </c>
      <c r="G33" s="5" t="s">
        <v>20</v>
      </c>
      <c r="H33" s="5" t="s">
        <v>21</v>
      </c>
      <c r="I33" s="5" t="s">
        <v>22</v>
      </c>
      <c r="J33" s="5" t="s">
        <v>23</v>
      </c>
      <c r="K33" s="5" t="s">
        <v>24</v>
      </c>
      <c r="L33" s="5" t="s">
        <v>25</v>
      </c>
      <c r="M33" s="5" t="s">
        <v>26</v>
      </c>
      <c r="N33" s="5" t="s">
        <v>27</v>
      </c>
      <c r="O33" s="5" t="s">
        <v>28</v>
      </c>
      <c r="P33" s="5" t="s">
        <v>29</v>
      </c>
      <c r="Q33" s="5" t="s">
        <v>30</v>
      </c>
      <c r="R33" s="5" t="s">
        <v>31</v>
      </c>
      <c r="S33" s="5" t="s">
        <v>32</v>
      </c>
      <c r="T33" s="5" t="s">
        <v>33</v>
      </c>
      <c r="U33" s="5" t="s">
        <v>34</v>
      </c>
      <c r="V33" s="5" t="s">
        <v>35</v>
      </c>
      <c r="W33" s="5" t="s">
        <v>36</v>
      </c>
      <c r="X33" s="5">
        <v>2024</v>
      </c>
      <c r="Y33" s="5">
        <v>2025</v>
      </c>
      <c r="AA33" s="11"/>
    </row>
    <row r="34" spans="3:27" x14ac:dyDescent="0.25">
      <c r="C34" t="s">
        <v>37</v>
      </c>
      <c r="D34" t="s">
        <v>39</v>
      </c>
      <c r="E34" s="11"/>
      <c r="F34" s="11">
        <v>528.53623440828733</v>
      </c>
      <c r="G34" s="11">
        <v>579.0204118506233</v>
      </c>
      <c r="H34" s="11">
        <v>740.86858648389307</v>
      </c>
      <c r="I34" s="11">
        <v>746.18890355645306</v>
      </c>
      <c r="J34" s="11">
        <v>946.12660105075599</v>
      </c>
      <c r="K34" s="11">
        <v>828.48403211176606</v>
      </c>
      <c r="L34" s="11">
        <v>921.82416243067598</v>
      </c>
      <c r="M34" s="11">
        <v>1071.2213446937822</v>
      </c>
      <c r="N34" s="11">
        <v>1105.3602889179024</v>
      </c>
      <c r="O34" s="11">
        <v>1107.7000946084486</v>
      </c>
      <c r="P34" s="11">
        <v>1247.6686660121188</v>
      </c>
      <c r="Q34" s="11">
        <v>1395.4228405837823</v>
      </c>
      <c r="R34" s="11">
        <v>1442.1821038634966</v>
      </c>
      <c r="S34" s="11">
        <v>1587.3964693393614</v>
      </c>
      <c r="T34" s="11">
        <v>1644.0130795576872</v>
      </c>
      <c r="U34" s="11">
        <v>1732.0248349102835</v>
      </c>
      <c r="V34" s="11">
        <v>1759.1348757994631</v>
      </c>
      <c r="W34" s="11">
        <v>1926.5465601772275</v>
      </c>
      <c r="X34" s="11" t="e">
        <f>+V34*$E$2*#REF!/W34+V34*(1-$E$2)</f>
        <v>#REF!</v>
      </c>
      <c r="Y34" s="11">
        <f>+C6</f>
        <v>2000</v>
      </c>
      <c r="AA34" s="11"/>
    </row>
    <row r="35" spans="3:27" x14ac:dyDescent="0.25">
      <c r="C35" t="s">
        <v>37</v>
      </c>
      <c r="D35" t="s">
        <v>40</v>
      </c>
      <c r="E35" s="11"/>
      <c r="F35" s="24">
        <f>+Bio!D34</f>
        <v>5795.9583899041827</v>
      </c>
      <c r="G35" s="24">
        <f>+Bio!E34</f>
        <v>5297.8586220247607</v>
      </c>
      <c r="H35" s="24">
        <f>+Bio!F34</f>
        <v>5357.3019032644452</v>
      </c>
      <c r="I35" s="24">
        <f>+Bio!G34</f>
        <v>5213.4938344291932</v>
      </c>
      <c r="J35" s="24">
        <f>+Bio!H34</f>
        <v>4736.1286850254155</v>
      </c>
      <c r="K35" s="24">
        <f>+Bio!I34</f>
        <v>5268.7482284165035</v>
      </c>
      <c r="L35" s="24">
        <f>+Bio!J34</f>
        <v>0</v>
      </c>
      <c r="M35" s="24">
        <f>+Bio!K34</f>
        <v>4160.9768970149025</v>
      </c>
      <c r="N35" s="24">
        <f>+Bio!L34</f>
        <v>4060.5185629446969</v>
      </c>
      <c r="O35" s="24">
        <f>+Bio!M34</f>
        <v>3996.6546903284056</v>
      </c>
      <c r="P35" s="24">
        <f>+Bio!N34</f>
        <v>3725.5769710045797</v>
      </c>
      <c r="Q35" s="24">
        <f>+Bio!O34</f>
        <v>3795.8895210721862</v>
      </c>
      <c r="R35" s="24">
        <f>+Bio!P34</f>
        <v>3863.7987300143045</v>
      </c>
      <c r="S35" s="24">
        <f>+Bio!Q34</f>
        <v>3690.859696237861</v>
      </c>
      <c r="T35" s="24">
        <f>+Bio!R34</f>
        <v>4091.1828788007638</v>
      </c>
      <c r="U35" s="24">
        <f>+Bio!S34</f>
        <v>4034.3493575534435</v>
      </c>
      <c r="V35" s="24">
        <f>+Bio!T34</f>
        <v>4543.7484615066496</v>
      </c>
      <c r="W35" s="24">
        <f>+Bio!U34</f>
        <v>3983.6461217533138</v>
      </c>
      <c r="X35" s="24">
        <f>+Bio!V34</f>
        <v>3788.1363250466652</v>
      </c>
      <c r="AA35" s="11"/>
    </row>
    <row r="36" spans="3:27" x14ac:dyDescent="0.25">
      <c r="C36" t="s">
        <v>37</v>
      </c>
      <c r="D36" t="s">
        <v>41</v>
      </c>
      <c r="E36" s="11"/>
      <c r="F36" s="24">
        <v>2384.7071925145151</v>
      </c>
      <c r="G36" s="24">
        <v>3046.0957377639706</v>
      </c>
      <c r="H36" s="24">
        <v>3827.8026733827037</v>
      </c>
      <c r="I36" s="24">
        <v>4584.7116100508765</v>
      </c>
      <c r="J36" s="24">
        <v>5426.1399613304875</v>
      </c>
      <c r="K36" s="24">
        <v>6189.160014706611</v>
      </c>
      <c r="L36" s="24">
        <v>6743.8886919179422</v>
      </c>
      <c r="M36" s="24">
        <v>7217.4554701673751</v>
      </c>
      <c r="N36" s="24">
        <v>7600.3980164913964</v>
      </c>
      <c r="O36" s="24">
        <v>7999.0711003593442</v>
      </c>
      <c r="P36" s="24">
        <v>8413.4734734014619</v>
      </c>
      <c r="Q36" s="24">
        <v>8823.8787204565633</v>
      </c>
      <c r="R36" s="24">
        <v>9368.1736602839119</v>
      </c>
      <c r="S36" s="24">
        <v>9897.4009222632285</v>
      </c>
      <c r="T36" s="24">
        <v>10237.883680879198</v>
      </c>
      <c r="U36" s="24">
        <v>10834.188663280247</v>
      </c>
      <c r="V36" s="24">
        <v>11636.350446908902</v>
      </c>
      <c r="W36" s="24">
        <v>12421.076539327634</v>
      </c>
      <c r="X36" s="11">
        <f>+C8</f>
        <v>13490.195363194727</v>
      </c>
      <c r="AA36" s="11"/>
    </row>
    <row r="37" spans="3:27" x14ac:dyDescent="0.25">
      <c r="C37" t="s">
        <v>15</v>
      </c>
      <c r="D37" t="s">
        <v>38</v>
      </c>
      <c r="E37" s="11"/>
      <c r="F37" s="24"/>
      <c r="G37" s="24"/>
      <c r="H37" s="24"/>
      <c r="I37" s="24"/>
      <c r="J37" s="24"/>
      <c r="K37" s="24"/>
      <c r="L37" s="24"/>
      <c r="M37" s="24"/>
      <c r="N37" s="24"/>
      <c r="O37" s="24"/>
      <c r="P37" s="24"/>
      <c r="Q37" s="24"/>
      <c r="R37" s="24"/>
      <c r="S37" s="24"/>
      <c r="T37" s="24"/>
      <c r="U37" s="24"/>
      <c r="V37" s="24"/>
      <c r="W37" s="24"/>
      <c r="X37" s="24"/>
      <c r="AA37" s="11"/>
    </row>
    <row r="38" spans="3:27" x14ac:dyDescent="0.25">
      <c r="C38" t="s">
        <v>15</v>
      </c>
      <c r="D38" t="s">
        <v>39</v>
      </c>
      <c r="E38" s="11"/>
      <c r="F38" s="11">
        <v>1934.6823029957179</v>
      </c>
      <c r="G38" s="11">
        <v>2057.7215819550247</v>
      </c>
      <c r="H38" s="11">
        <v>2091.8132244547819</v>
      </c>
      <c r="I38" s="11">
        <v>2328.4075696193454</v>
      </c>
      <c r="J38" s="11">
        <v>2565.2707344838236</v>
      </c>
      <c r="K38" s="11">
        <v>2876.3436495497826</v>
      </c>
      <c r="L38" s="11">
        <v>2904.7264928479535</v>
      </c>
      <c r="M38" s="11">
        <v>3213.9851137501932</v>
      </c>
      <c r="N38" s="11">
        <v>3383.58473391199</v>
      </c>
      <c r="O38" s="11">
        <v>3376.2953735473498</v>
      </c>
      <c r="P38" s="11">
        <v>3482.7672620062704</v>
      </c>
      <c r="Q38" s="11">
        <v>3415.3785691506037</v>
      </c>
      <c r="R38" s="11">
        <v>3654.4735047946142</v>
      </c>
      <c r="S38" s="11">
        <v>3654.3985363357438</v>
      </c>
      <c r="T38" s="11">
        <v>3476.882275143596</v>
      </c>
      <c r="U38" s="11">
        <v>3850.697123721372</v>
      </c>
      <c r="V38" s="11">
        <v>3834.486907127759</v>
      </c>
      <c r="W38" s="11">
        <v>3999.5488810580187</v>
      </c>
      <c r="X38" s="11">
        <f>+C12</f>
        <v>4200</v>
      </c>
      <c r="AA38" s="11"/>
    </row>
    <row r="39" spans="3:27" x14ac:dyDescent="0.25">
      <c r="C39" t="s">
        <v>15</v>
      </c>
      <c r="D39" t="s">
        <v>41</v>
      </c>
      <c r="E39" s="11"/>
      <c r="F39" s="24">
        <v>1498.9602788266966</v>
      </c>
      <c r="G39" s="24">
        <v>1827.6490801671039</v>
      </c>
      <c r="H39" s="24">
        <v>2228.4376967559597</v>
      </c>
      <c r="I39" s="24">
        <v>2615.7391015325825</v>
      </c>
      <c r="J39" s="24">
        <v>3008.4052052609914</v>
      </c>
      <c r="K39" s="24">
        <v>3413.092895799457</v>
      </c>
      <c r="L39" s="24">
        <v>3735.1275692577024</v>
      </c>
      <c r="M39" s="24">
        <v>4027.6879620115578</v>
      </c>
      <c r="N39" s="24">
        <v>4303.0045679702826</v>
      </c>
      <c r="O39" s="24">
        <v>4557.1488230226396</v>
      </c>
      <c r="P39" s="24">
        <v>4814.9291327070241</v>
      </c>
      <c r="Q39" s="24">
        <v>5082.9531241703671</v>
      </c>
      <c r="R39" s="24">
        <v>5441.180219075517</v>
      </c>
      <c r="S39" s="24">
        <v>5718.0165114927277</v>
      </c>
      <c r="T39" s="24">
        <v>5859.3235758844903</v>
      </c>
      <c r="U39" s="24">
        <v>6038.1366133802649</v>
      </c>
      <c r="V39" s="24">
        <v>6316.0039259663399</v>
      </c>
      <c r="W39" s="24">
        <v>6645.9532113550622</v>
      </c>
      <c r="X39" s="11">
        <f>+C13</f>
        <v>7000</v>
      </c>
      <c r="AA39" s="11"/>
    </row>
    <row r="40" spans="3:27" x14ac:dyDescent="0.25">
      <c r="D40" t="s">
        <v>0</v>
      </c>
      <c r="E40" s="11"/>
      <c r="F40" s="24">
        <f t="shared" ref="F40:X40" si="7">+SUM(F34:F36)</f>
        <v>8709.201816826986</v>
      </c>
      <c r="G40" s="24">
        <f t="shared" si="7"/>
        <v>8922.974771639354</v>
      </c>
      <c r="H40" s="24">
        <f t="shared" si="7"/>
        <v>9925.9731631310424</v>
      </c>
      <c r="I40" s="24">
        <f t="shared" si="7"/>
        <v>10544.394348036523</v>
      </c>
      <c r="J40" s="24">
        <f t="shared" si="7"/>
        <v>11108.395247406659</v>
      </c>
      <c r="K40" s="24">
        <f t="shared" si="7"/>
        <v>12286.392275234881</v>
      </c>
      <c r="L40" s="24">
        <f t="shared" si="7"/>
        <v>7665.7128543486178</v>
      </c>
      <c r="M40" s="24">
        <f t="shared" si="7"/>
        <v>12449.653711876061</v>
      </c>
      <c r="N40" s="24">
        <f t="shared" si="7"/>
        <v>12766.276868353994</v>
      </c>
      <c r="O40" s="24">
        <f t="shared" si="7"/>
        <v>13103.425885296198</v>
      </c>
      <c r="P40" s="24">
        <f t="shared" si="7"/>
        <v>13386.71911041816</v>
      </c>
      <c r="Q40" s="24">
        <f t="shared" si="7"/>
        <v>14015.191082112531</v>
      </c>
      <c r="R40" s="24">
        <f t="shared" si="7"/>
        <v>14674.154494161714</v>
      </c>
      <c r="S40" s="24">
        <f t="shared" si="7"/>
        <v>15175.657087840451</v>
      </c>
      <c r="T40" s="24">
        <f t="shared" si="7"/>
        <v>15973.079639237651</v>
      </c>
      <c r="U40" s="24">
        <f t="shared" si="7"/>
        <v>16600.562855743974</v>
      </c>
      <c r="V40" s="24">
        <f t="shared" si="7"/>
        <v>17939.233784215015</v>
      </c>
      <c r="W40" s="24">
        <f t="shared" si="7"/>
        <v>18331.269221258175</v>
      </c>
      <c r="X40" s="24" t="e">
        <f t="shared" si="7"/>
        <v>#REF!</v>
      </c>
      <c r="AA40" s="11"/>
    </row>
    <row r="41" spans="3:27" x14ac:dyDescent="0.25">
      <c r="D41" t="s">
        <v>15</v>
      </c>
      <c r="E41" s="24"/>
      <c r="F41" s="24">
        <f t="shared" ref="F41:X41" si="8">+SUM(F37:F39)</f>
        <v>3433.6425818224143</v>
      </c>
      <c r="G41" s="24">
        <f t="shared" si="8"/>
        <v>3885.3706621221286</v>
      </c>
      <c r="H41" s="24">
        <f t="shared" si="8"/>
        <v>4320.2509212107416</v>
      </c>
      <c r="I41" s="24">
        <f t="shared" si="8"/>
        <v>4944.1466711519279</v>
      </c>
      <c r="J41" s="24">
        <f t="shared" si="8"/>
        <v>5573.675939744815</v>
      </c>
      <c r="K41" s="24">
        <f t="shared" si="8"/>
        <v>6289.4365453492392</v>
      </c>
      <c r="L41" s="24">
        <f t="shared" si="8"/>
        <v>6639.8540621056563</v>
      </c>
      <c r="M41" s="24">
        <f t="shared" si="8"/>
        <v>7241.6730757617515</v>
      </c>
      <c r="N41" s="24">
        <f t="shared" si="8"/>
        <v>7686.5893018822726</v>
      </c>
      <c r="O41" s="24">
        <f t="shared" si="8"/>
        <v>7933.4441965699898</v>
      </c>
      <c r="P41" s="24">
        <f t="shared" si="8"/>
        <v>8297.6963947132936</v>
      </c>
      <c r="Q41" s="24">
        <f t="shared" si="8"/>
        <v>8498.3316933209717</v>
      </c>
      <c r="R41" s="24">
        <f t="shared" si="8"/>
        <v>9095.6537238701312</v>
      </c>
      <c r="S41" s="24">
        <f t="shared" si="8"/>
        <v>9372.4150478284719</v>
      </c>
      <c r="T41" s="24">
        <f t="shared" si="8"/>
        <v>9336.2058510280858</v>
      </c>
      <c r="U41" s="24">
        <f t="shared" si="8"/>
        <v>9888.8337371016369</v>
      </c>
      <c r="V41" s="24">
        <f t="shared" si="8"/>
        <v>10150.4908330941</v>
      </c>
      <c r="W41" s="24">
        <f t="shared" si="8"/>
        <v>10645.50209241308</v>
      </c>
      <c r="X41" s="24">
        <f t="shared" si="8"/>
        <v>11200</v>
      </c>
      <c r="AA41" s="11"/>
    </row>
    <row r="42" spans="3:27" x14ac:dyDescent="0.25">
      <c r="D42" t="s">
        <v>42</v>
      </c>
      <c r="E42" s="24"/>
      <c r="F42" s="24">
        <f t="shared" ref="F42:X42" si="9">+SUM(F34:F39)</f>
        <v>12142.8443986494</v>
      </c>
      <c r="G42" s="24">
        <f t="shared" si="9"/>
        <v>12808.345433761484</v>
      </c>
      <c r="H42" s="24">
        <f t="shared" si="9"/>
        <v>14246.224084341784</v>
      </c>
      <c r="I42" s="24">
        <f t="shared" si="9"/>
        <v>15488.541019188451</v>
      </c>
      <c r="J42" s="24">
        <f t="shared" si="9"/>
        <v>16682.071187151472</v>
      </c>
      <c r="K42" s="24">
        <f t="shared" si="9"/>
        <v>18575.82882058412</v>
      </c>
      <c r="L42" s="24">
        <f t="shared" si="9"/>
        <v>14305.566916454272</v>
      </c>
      <c r="M42" s="24">
        <f t="shared" si="9"/>
        <v>19691.326787637812</v>
      </c>
      <c r="N42" s="24">
        <f t="shared" si="9"/>
        <v>20452.866170236266</v>
      </c>
      <c r="O42" s="24">
        <f t="shared" si="9"/>
        <v>21036.870081866186</v>
      </c>
      <c r="P42" s="24">
        <f t="shared" si="9"/>
        <v>21684.415505131456</v>
      </c>
      <c r="Q42" s="24">
        <f t="shared" si="9"/>
        <v>22513.522775433499</v>
      </c>
      <c r="R42" s="24">
        <f t="shared" si="9"/>
        <v>23769.808218031845</v>
      </c>
      <c r="S42" s="24">
        <f t="shared" si="9"/>
        <v>24548.072135668925</v>
      </c>
      <c r="T42" s="24">
        <f t="shared" si="9"/>
        <v>25309.285490265735</v>
      </c>
      <c r="U42" s="24">
        <f t="shared" si="9"/>
        <v>26489.396592845613</v>
      </c>
      <c r="V42" s="24">
        <f t="shared" si="9"/>
        <v>28089.724617309112</v>
      </c>
      <c r="W42" s="24">
        <f t="shared" si="9"/>
        <v>28976.771313671255</v>
      </c>
      <c r="X42" s="24" t="e">
        <f t="shared" si="9"/>
        <v>#REF!</v>
      </c>
    </row>
    <row r="43" spans="3:27" x14ac:dyDescent="0.25">
      <c r="E43" s="24"/>
    </row>
    <row r="44" spans="3:27" x14ac:dyDescent="0.25">
      <c r="E44" s="24"/>
    </row>
    <row r="45" spans="3:27" x14ac:dyDescent="0.25">
      <c r="E45" s="24"/>
    </row>
  </sheetData>
  <hyperlinks>
    <hyperlink ref="G4" r:id="rId1" display="https://www.ssb.no/befolkning/barn-familier-og-husholdninger/statistikk/familier-og-husholdninger" xr:uid="{400FD982-7629-40D8-AA2E-A1D12DDB44AB}"/>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3F9DB-312D-4000-B6F8-14C94357AD1F}">
  <dimension ref="A1:V73"/>
  <sheetViews>
    <sheetView topLeftCell="A6" zoomScale="105" zoomScaleNormal="100" workbookViewId="0">
      <selection activeCell="A32" sqref="A32"/>
    </sheetView>
  </sheetViews>
  <sheetFormatPr baseColWidth="10" defaultColWidth="9.140625" defaultRowHeight="15" x14ac:dyDescent="0.25"/>
  <cols>
    <col min="1" max="1" width="66.140625" customWidth="1"/>
    <col min="2" max="20" width="9.140625" customWidth="1"/>
    <col min="21" max="21" width="10.42578125" customWidth="1"/>
  </cols>
  <sheetData>
    <row r="1" spans="1:21" ht="18.75" x14ac:dyDescent="0.3">
      <c r="A1" s="1" t="s">
        <v>111</v>
      </c>
    </row>
    <row r="3" spans="1:21" x14ac:dyDescent="0.25">
      <c r="B3" s="2" t="s">
        <v>18</v>
      </c>
      <c r="C3" s="2" t="s">
        <v>19</v>
      </c>
      <c r="D3" s="2" t="s">
        <v>20</v>
      </c>
      <c r="E3" s="2" t="s">
        <v>21</v>
      </c>
      <c r="F3" s="2" t="s">
        <v>22</v>
      </c>
      <c r="G3" s="2" t="s">
        <v>23</v>
      </c>
      <c r="H3" s="2" t="s">
        <v>24</v>
      </c>
      <c r="I3" s="2" t="s">
        <v>25</v>
      </c>
      <c r="J3" s="2" t="s">
        <v>26</v>
      </c>
      <c r="K3" s="2" t="s">
        <v>27</v>
      </c>
      <c r="L3" s="2" t="s">
        <v>28</v>
      </c>
      <c r="M3" s="2" t="s">
        <v>29</v>
      </c>
      <c r="N3" s="2" t="s">
        <v>30</v>
      </c>
      <c r="O3" s="2" t="s">
        <v>31</v>
      </c>
      <c r="P3" s="2" t="s">
        <v>32</v>
      </c>
      <c r="Q3" s="2" t="s">
        <v>33</v>
      </c>
      <c r="R3" s="2" t="s">
        <v>34</v>
      </c>
      <c r="S3" s="2" t="s">
        <v>35</v>
      </c>
      <c r="T3" s="2" t="s">
        <v>36</v>
      </c>
      <c r="U3" s="2">
        <v>2024</v>
      </c>
    </row>
    <row r="4" spans="1:21" x14ac:dyDescent="0.25">
      <c r="A4" t="s">
        <v>112</v>
      </c>
      <c r="B4" s="2">
        <v>3734</v>
      </c>
      <c r="C4" s="2">
        <v>3734</v>
      </c>
      <c r="D4" s="2">
        <v>3734</v>
      </c>
      <c r="E4" s="2">
        <v>3734</v>
      </c>
      <c r="F4" s="2">
        <v>3734</v>
      </c>
      <c r="G4" s="2">
        <v>3734</v>
      </c>
      <c r="H4" s="2">
        <v>3734</v>
      </c>
      <c r="I4" s="2">
        <v>3734</v>
      </c>
      <c r="J4" s="2">
        <v>3734</v>
      </c>
      <c r="K4" s="2">
        <v>3734</v>
      </c>
      <c r="L4" s="2">
        <v>3734</v>
      </c>
      <c r="M4" s="2">
        <v>3734</v>
      </c>
      <c r="N4" s="2">
        <v>3734</v>
      </c>
      <c r="O4" s="2">
        <v>3734</v>
      </c>
      <c r="P4" s="2">
        <v>3734</v>
      </c>
      <c r="Q4" s="2">
        <v>3734</v>
      </c>
      <c r="R4" s="2">
        <v>3734</v>
      </c>
      <c r="S4" s="2">
        <v>3734</v>
      </c>
      <c r="T4" s="2">
        <v>3734</v>
      </c>
      <c r="U4" s="2">
        <v>3734</v>
      </c>
    </row>
    <row r="5" spans="1:21" x14ac:dyDescent="0.25">
      <c r="A5" t="s">
        <v>113</v>
      </c>
      <c r="B5" s="11">
        <v>3599.3522683948268</v>
      </c>
      <c r="C5" s="11">
        <v>3502.2232415107992</v>
      </c>
      <c r="D5" s="11">
        <v>3645.2305654142779</v>
      </c>
      <c r="E5" s="11">
        <v>3590.6813366036395</v>
      </c>
      <c r="F5" s="11">
        <v>3763.7767636706722</v>
      </c>
      <c r="G5" s="29">
        <v>4439.451561062031</v>
      </c>
      <c r="H5" s="29">
        <v>3508.333382442755</v>
      </c>
      <c r="I5" s="29">
        <v>3877.3852560335513</v>
      </c>
      <c r="J5" s="29">
        <v>3785.0952681451718</v>
      </c>
      <c r="K5" s="29">
        <v>3299.1392919553045</v>
      </c>
      <c r="L5" s="29">
        <v>3440.436561196113</v>
      </c>
      <c r="M5" s="29">
        <v>3601.1612436361056</v>
      </c>
      <c r="N5" s="29">
        <v>3632.3086467400121</v>
      </c>
      <c r="O5" s="29">
        <v>3623.6719894123803</v>
      </c>
      <c r="P5" s="29">
        <v>3618.5232394093928</v>
      </c>
      <c r="Q5" s="29">
        <v>3244.3018655413862</v>
      </c>
      <c r="R5" s="30">
        <v>3690.5568799815019</v>
      </c>
      <c r="S5" s="30">
        <v>3453.6672353877816</v>
      </c>
      <c r="T5" s="30">
        <v>3730</v>
      </c>
      <c r="U5" s="30">
        <v>3434.6998242187065</v>
      </c>
    </row>
    <row r="6" spans="1:21" x14ac:dyDescent="0.25">
      <c r="A6" s="2"/>
      <c r="B6" s="31"/>
      <c r="C6" s="31"/>
      <c r="D6" s="31"/>
      <c r="E6" s="31"/>
      <c r="F6" s="31"/>
      <c r="G6" s="31"/>
      <c r="H6" s="31"/>
      <c r="I6" s="31"/>
      <c r="J6" s="31"/>
      <c r="K6" s="31"/>
      <c r="L6" s="31"/>
      <c r="M6" s="31"/>
      <c r="N6" s="31"/>
      <c r="O6" s="31"/>
      <c r="P6" s="31"/>
      <c r="Q6" s="31"/>
      <c r="R6" s="31"/>
      <c r="S6" s="31"/>
      <c r="T6" s="31"/>
      <c r="U6" s="11"/>
    </row>
    <row r="7" spans="1:21" x14ac:dyDescent="0.25">
      <c r="A7" s="2" t="s">
        <v>114</v>
      </c>
      <c r="B7" s="11">
        <v>32770</v>
      </c>
      <c r="C7" s="11">
        <v>32327</v>
      </c>
      <c r="D7" s="11">
        <v>33539</v>
      </c>
      <c r="E7" s="11">
        <v>33365</v>
      </c>
      <c r="F7" s="11">
        <v>34676</v>
      </c>
      <c r="G7" s="11">
        <v>37800</v>
      </c>
      <c r="H7" s="11">
        <v>34239</v>
      </c>
      <c r="I7" s="11">
        <v>36318</v>
      </c>
      <c r="J7" s="11">
        <v>36761</v>
      </c>
      <c r="K7" s="11">
        <v>34865</v>
      </c>
      <c r="L7" s="11">
        <v>36452</v>
      </c>
      <c r="M7" s="11">
        <v>37565</v>
      </c>
      <c r="N7" s="11">
        <v>37780</v>
      </c>
      <c r="O7" s="11">
        <v>37987</v>
      </c>
      <c r="P7" s="11">
        <v>37623</v>
      </c>
      <c r="Q7" s="11">
        <v>37678</v>
      </c>
      <c r="R7" s="11">
        <v>39011</v>
      </c>
      <c r="S7" s="11">
        <v>34030</v>
      </c>
      <c r="T7" s="11">
        <v>36418</v>
      </c>
      <c r="U7" s="11">
        <f>38370-1650</f>
        <v>36720</v>
      </c>
    </row>
    <row r="8" spans="1:21" x14ac:dyDescent="0.25">
      <c r="A8" s="2" t="s">
        <v>115</v>
      </c>
      <c r="B8" s="11">
        <f t="shared" ref="B8:U8" si="0">B7*($B$17*(B4/B5)+(1-$B$17))</f>
        <v>33468.756700188591</v>
      </c>
      <c r="C8" s="11">
        <f t="shared" si="0"/>
        <v>33546.456513861602</v>
      </c>
      <c r="D8" s="11">
        <f t="shared" si="0"/>
        <v>34004.546874879874</v>
      </c>
      <c r="E8" s="11">
        <f t="shared" si="0"/>
        <v>34124.087552164478</v>
      </c>
      <c r="F8" s="11">
        <f t="shared" si="0"/>
        <v>34519.628541364065</v>
      </c>
      <c r="G8" s="11">
        <f t="shared" si="0"/>
        <v>34376.230391168778</v>
      </c>
      <c r="H8" s="11">
        <f t="shared" si="0"/>
        <v>35494.342959597168</v>
      </c>
      <c r="I8" s="11">
        <f t="shared" si="0"/>
        <v>35552.469811660252</v>
      </c>
      <c r="J8" s="11">
        <f t="shared" si="0"/>
        <v>36478.143580027536</v>
      </c>
      <c r="K8" s="11">
        <f t="shared" si="0"/>
        <v>37484.473695784989</v>
      </c>
      <c r="L8" s="11">
        <f t="shared" si="0"/>
        <v>38224.901589706569</v>
      </c>
      <c r="M8" s="11">
        <f t="shared" si="0"/>
        <v>38354.842470460884</v>
      </c>
      <c r="N8" s="11">
        <f t="shared" si="0"/>
        <v>38382.890015384</v>
      </c>
      <c r="O8" s="11">
        <f t="shared" si="0"/>
        <v>38646.244872535157</v>
      </c>
      <c r="P8" s="11">
        <f t="shared" si="0"/>
        <v>38307.370852268854</v>
      </c>
      <c r="Q8" s="11">
        <f t="shared" si="0"/>
        <v>40919.678127574618</v>
      </c>
      <c r="R8" s="11">
        <f t="shared" si="0"/>
        <v>39272.75262373373</v>
      </c>
      <c r="S8" s="11">
        <f t="shared" si="0"/>
        <v>35604.45471663952</v>
      </c>
      <c r="T8" s="11">
        <f t="shared" si="0"/>
        <v>36440.260868632708</v>
      </c>
      <c r="U8" s="11">
        <f t="shared" si="0"/>
        <v>38543.877695221236</v>
      </c>
    </row>
    <row r="9" spans="1:21" x14ac:dyDescent="0.25">
      <c r="A9" s="2" t="s">
        <v>116</v>
      </c>
      <c r="B9" s="11">
        <v>4606363</v>
      </c>
      <c r="C9" s="11">
        <v>4640219</v>
      </c>
      <c r="D9" s="11">
        <v>4681134</v>
      </c>
      <c r="E9" s="11">
        <v>4737171</v>
      </c>
      <c r="F9" s="11">
        <v>4799252</v>
      </c>
      <c r="G9" s="11">
        <v>4858199</v>
      </c>
      <c r="H9" s="11">
        <v>4920305</v>
      </c>
      <c r="I9" s="11">
        <v>4985870</v>
      </c>
      <c r="J9" s="11">
        <v>5051275</v>
      </c>
      <c r="K9" s="11">
        <v>5109056</v>
      </c>
      <c r="L9" s="11">
        <v>5165802</v>
      </c>
      <c r="M9" s="11">
        <v>5213985</v>
      </c>
      <c r="N9" s="11">
        <v>5258317</v>
      </c>
      <c r="O9" s="11">
        <v>5295619</v>
      </c>
      <c r="P9" s="11">
        <v>5328212</v>
      </c>
      <c r="Q9" s="11">
        <v>5367580</v>
      </c>
      <c r="R9" s="11">
        <v>5391369</v>
      </c>
      <c r="S9" s="11">
        <v>5425270</v>
      </c>
      <c r="T9" s="11">
        <v>5488984</v>
      </c>
      <c r="U9" s="28">
        <v>5539416</v>
      </c>
    </row>
    <row r="10" spans="1:21" x14ac:dyDescent="0.25">
      <c r="A10" s="2" t="s">
        <v>117</v>
      </c>
      <c r="B10" s="11">
        <v>2010999</v>
      </c>
      <c r="C10" s="11">
        <v>2036890</v>
      </c>
      <c r="D10" s="11">
        <v>2064841</v>
      </c>
      <c r="E10" s="11">
        <v>2104531</v>
      </c>
      <c r="F10" s="11">
        <v>2142638</v>
      </c>
      <c r="G10" s="11">
        <v>2170893</v>
      </c>
      <c r="H10" s="11">
        <v>2201787</v>
      </c>
      <c r="I10" s="11">
        <v>2226046</v>
      </c>
      <c r="J10" s="11">
        <v>2258794</v>
      </c>
      <c r="K10" s="11">
        <v>2286445</v>
      </c>
      <c r="L10" s="11">
        <v>2316647</v>
      </c>
      <c r="M10" s="11">
        <v>2348797</v>
      </c>
      <c r="N10" s="11">
        <v>2376971</v>
      </c>
      <c r="O10" s="11">
        <v>2409257</v>
      </c>
      <c r="P10" s="11">
        <v>2439242</v>
      </c>
      <c r="Q10" s="11">
        <v>2475168</v>
      </c>
      <c r="R10" s="11">
        <v>2512317</v>
      </c>
      <c r="S10" s="11">
        <v>2545902</v>
      </c>
      <c r="T10" s="11">
        <v>2581721</v>
      </c>
      <c r="U10" s="11">
        <v>2617268</v>
      </c>
    </row>
    <row r="11" spans="1:21" x14ac:dyDescent="0.25">
      <c r="A11" s="2"/>
      <c r="B11" s="11"/>
      <c r="C11" s="11"/>
      <c r="D11" s="11"/>
      <c r="E11" s="11"/>
      <c r="F11" s="11"/>
      <c r="G11" s="11"/>
      <c r="H11" s="11"/>
      <c r="I11" s="11"/>
      <c r="J11" s="11"/>
      <c r="K11" s="11"/>
      <c r="L11" s="11"/>
      <c r="M11" s="11"/>
      <c r="N11" s="11"/>
      <c r="O11" s="11"/>
      <c r="P11" s="11"/>
      <c r="Q11" s="11"/>
      <c r="R11" s="11"/>
      <c r="S11" s="11"/>
      <c r="T11" s="11"/>
      <c r="U11" s="11"/>
    </row>
    <row r="12" spans="1:21" x14ac:dyDescent="0.25">
      <c r="A12" s="2" t="s">
        <v>118</v>
      </c>
      <c r="B12" s="11">
        <f t="shared" ref="B12:U12" si="1">(B7*1000*1000)/B9</f>
        <v>7114.0724254688566</v>
      </c>
      <c r="C12" s="11">
        <f t="shared" si="1"/>
        <v>6966.6970459799422</v>
      </c>
      <c r="D12" s="11">
        <f t="shared" si="1"/>
        <v>7164.7169254287528</v>
      </c>
      <c r="E12" s="11">
        <f t="shared" si="1"/>
        <v>7043.2331870646003</v>
      </c>
      <c r="F12" s="11">
        <f t="shared" si="1"/>
        <v>7225.2926080980951</v>
      </c>
      <c r="G12" s="11">
        <f t="shared" si="1"/>
        <v>7780.6611050720649</v>
      </c>
      <c r="H12" s="11">
        <f t="shared" si="1"/>
        <v>6958.7149577109549</v>
      </c>
      <c r="I12" s="11">
        <f t="shared" si="1"/>
        <v>7284.1851071127003</v>
      </c>
      <c r="J12" s="11">
        <f t="shared" si="1"/>
        <v>7277.5685346768887</v>
      </c>
      <c r="K12" s="11">
        <f t="shared" si="1"/>
        <v>6824.1569479762993</v>
      </c>
      <c r="L12" s="11">
        <f t="shared" si="1"/>
        <v>7056.4067302618259</v>
      </c>
      <c r="M12" s="11">
        <f t="shared" si="1"/>
        <v>7204.6620770869113</v>
      </c>
      <c r="N12" s="11">
        <f t="shared" si="1"/>
        <v>7184.8083711955742</v>
      </c>
      <c r="O12" s="11">
        <f t="shared" si="1"/>
        <v>7173.2879574606859</v>
      </c>
      <c r="P12" s="11">
        <f t="shared" si="1"/>
        <v>7061.0929144711208</v>
      </c>
      <c r="Q12" s="11">
        <f t="shared" si="1"/>
        <v>7019.550710003391</v>
      </c>
      <c r="R12" s="11">
        <f t="shared" si="1"/>
        <v>7235.8245187817784</v>
      </c>
      <c r="S12" s="11">
        <f t="shared" si="1"/>
        <v>6272.4988802400621</v>
      </c>
      <c r="T12" s="11">
        <f t="shared" si="1"/>
        <v>6634.7433331924449</v>
      </c>
      <c r="U12" s="11">
        <f t="shared" si="1"/>
        <v>6628.8576268689694</v>
      </c>
    </row>
    <row r="13" spans="1:21" x14ac:dyDescent="0.25">
      <c r="A13" s="2" t="s">
        <v>119</v>
      </c>
      <c r="B13" s="11">
        <f t="shared" ref="B13:U13" si="2">(B7*1000*1000)/B10</f>
        <v>16295.383538231496</v>
      </c>
      <c r="C13" s="11">
        <f t="shared" si="2"/>
        <v>15870.763762402486</v>
      </c>
      <c r="D13" s="11">
        <f t="shared" si="2"/>
        <v>16242.897152855838</v>
      </c>
      <c r="E13" s="11">
        <f t="shared" si="2"/>
        <v>15853.888586103032</v>
      </c>
      <c r="F13" s="11">
        <f t="shared" si="2"/>
        <v>16183.788395426573</v>
      </c>
      <c r="G13" s="11">
        <f t="shared" si="2"/>
        <v>17412.189361705066</v>
      </c>
      <c r="H13" s="11">
        <f t="shared" si="2"/>
        <v>15550.550530092149</v>
      </c>
      <c r="I13" s="11">
        <f t="shared" si="2"/>
        <v>16315.026733499668</v>
      </c>
      <c r="J13" s="11">
        <f t="shared" si="2"/>
        <v>16274.613798336635</v>
      </c>
      <c r="K13" s="11">
        <f t="shared" si="2"/>
        <v>15248.562725103819</v>
      </c>
      <c r="L13" s="11">
        <f t="shared" si="2"/>
        <v>15734.809835076298</v>
      </c>
      <c r="M13" s="11">
        <f t="shared" si="2"/>
        <v>15993.293588164495</v>
      </c>
      <c r="N13" s="11">
        <f t="shared" si="2"/>
        <v>15894.177926445043</v>
      </c>
      <c r="O13" s="11">
        <f t="shared" si="2"/>
        <v>15767.101641709456</v>
      </c>
      <c r="P13" s="11">
        <f t="shared" si="2"/>
        <v>15424.053865914084</v>
      </c>
      <c r="Q13" s="11">
        <f t="shared" si="2"/>
        <v>15222.401065301427</v>
      </c>
      <c r="R13" s="11">
        <f t="shared" si="2"/>
        <v>15527.897156290388</v>
      </c>
      <c r="S13" s="11">
        <f t="shared" si="2"/>
        <v>13366.578917805948</v>
      </c>
      <c r="T13" s="11">
        <f t="shared" si="2"/>
        <v>14106.094345593501</v>
      </c>
      <c r="U13" s="11">
        <f t="shared" si="2"/>
        <v>14029.896823710831</v>
      </c>
    </row>
    <row r="14" spans="1:21" x14ac:dyDescent="0.25">
      <c r="A14" s="2" t="s">
        <v>167</v>
      </c>
      <c r="B14" s="11">
        <f t="shared" ref="B14:U14" si="3">(B8*1000*1000)/B9</f>
        <v>7265.7662238491821</v>
      </c>
      <c r="C14" s="11">
        <f t="shared" si="3"/>
        <v>7229.4985460517273</v>
      </c>
      <c r="D14" s="11">
        <f t="shared" si="3"/>
        <v>7264.1686554753351</v>
      </c>
      <c r="E14" s="11">
        <f t="shared" si="3"/>
        <v>7203.4738775873784</v>
      </c>
      <c r="F14" s="11">
        <f t="shared" si="3"/>
        <v>7192.7101434482011</v>
      </c>
      <c r="G14" s="11">
        <f t="shared" si="3"/>
        <v>7075.9206016815651</v>
      </c>
      <c r="H14" s="11">
        <f t="shared" si="3"/>
        <v>7213.8501494515422</v>
      </c>
      <c r="I14" s="11">
        <f t="shared" si="3"/>
        <v>7130.645165569952</v>
      </c>
      <c r="J14" s="11">
        <f t="shared" si="3"/>
        <v>7221.5715002702354</v>
      </c>
      <c r="K14" s="11">
        <f t="shared" si="3"/>
        <v>7336.8688258232023</v>
      </c>
      <c r="L14" s="11">
        <f t="shared" si="3"/>
        <v>7399.606409557814</v>
      </c>
      <c r="M14" s="11">
        <f t="shared" si="3"/>
        <v>7356.1474516058033</v>
      </c>
      <c r="N14" s="11">
        <f t="shared" si="3"/>
        <v>7299.462929942033</v>
      </c>
      <c r="O14" s="11">
        <f t="shared" si="3"/>
        <v>7297.7766853195362</v>
      </c>
      <c r="P14" s="11">
        <f t="shared" si="3"/>
        <v>7189.5357865394344</v>
      </c>
      <c r="Q14" s="11">
        <f t="shared" si="3"/>
        <v>7623.4873308967199</v>
      </c>
      <c r="R14" s="11">
        <f t="shared" si="3"/>
        <v>7284.3748264557162</v>
      </c>
      <c r="S14" s="11">
        <f t="shared" si="3"/>
        <v>6562.7065043102957</v>
      </c>
      <c r="T14" s="11">
        <f t="shared" si="3"/>
        <v>6638.7988867580425</v>
      </c>
      <c r="U14" s="11">
        <f t="shared" si="3"/>
        <v>6958.1121358679757</v>
      </c>
    </row>
    <row r="15" spans="1:21" x14ac:dyDescent="0.25">
      <c r="A15" s="2" t="s">
        <v>166</v>
      </c>
      <c r="B15" s="11">
        <f t="shared" ref="B15:U15" si="4">(B8*1000*1000)/B10</f>
        <v>16642.850991068914</v>
      </c>
      <c r="C15" s="11">
        <f t="shared" si="4"/>
        <v>16469.449265233565</v>
      </c>
      <c r="D15" s="11">
        <f t="shared" si="4"/>
        <v>16468.360941534906</v>
      </c>
      <c r="E15" s="11">
        <f t="shared" si="4"/>
        <v>16214.580613050832</v>
      </c>
      <c r="F15" s="11">
        <f t="shared" si="4"/>
        <v>16110.807584558879</v>
      </c>
      <c r="G15" s="11">
        <f t="shared" si="4"/>
        <v>15835.064368059033</v>
      </c>
      <c r="H15" s="11">
        <f t="shared" si="4"/>
        <v>16120.697851153252</v>
      </c>
      <c r="I15" s="11">
        <f t="shared" si="4"/>
        <v>15971.129892041878</v>
      </c>
      <c r="J15" s="11">
        <f t="shared" si="4"/>
        <v>16149.389267028129</v>
      </c>
      <c r="K15" s="11">
        <f t="shared" si="4"/>
        <v>16394.216215909408</v>
      </c>
      <c r="L15" s="11">
        <f t="shared" si="4"/>
        <v>16500.097593507588</v>
      </c>
      <c r="M15" s="11">
        <f t="shared" si="4"/>
        <v>16329.568911430355</v>
      </c>
      <c r="N15" s="11">
        <f t="shared" si="4"/>
        <v>16147.815861188043</v>
      </c>
      <c r="O15" s="11">
        <f t="shared" si="4"/>
        <v>16040.731591745985</v>
      </c>
      <c r="P15" s="11">
        <f t="shared" si="4"/>
        <v>15704.620883155034</v>
      </c>
      <c r="Q15" s="11">
        <f t="shared" si="4"/>
        <v>16532.081106241927</v>
      </c>
      <c r="R15" s="11">
        <f t="shared" si="4"/>
        <v>15632.084893639507</v>
      </c>
      <c r="S15" s="11">
        <f t="shared" si="4"/>
        <v>13985.005988698513</v>
      </c>
      <c r="T15" s="11">
        <f t="shared" si="4"/>
        <v>14114.716837579546</v>
      </c>
      <c r="U15" s="11">
        <f t="shared" si="4"/>
        <v>14726.760001353028</v>
      </c>
    </row>
    <row r="17" spans="1:22" x14ac:dyDescent="0.25">
      <c r="A17" t="s">
        <v>120</v>
      </c>
      <c r="B17">
        <v>0.56999999999999995</v>
      </c>
    </row>
    <row r="18" spans="1:22" x14ac:dyDescent="0.25">
      <c r="A18" t="s">
        <v>121</v>
      </c>
      <c r="B18">
        <v>0.32</v>
      </c>
      <c r="V18" s="19"/>
    </row>
    <row r="21" spans="1:22" x14ac:dyDescent="0.25">
      <c r="A21" s="39" t="s">
        <v>162</v>
      </c>
      <c r="B21" s="2" t="s">
        <v>18</v>
      </c>
      <c r="C21" s="2" t="s">
        <v>19</v>
      </c>
      <c r="D21" s="2" t="s">
        <v>20</v>
      </c>
      <c r="E21" s="2" t="s">
        <v>21</v>
      </c>
      <c r="F21" s="2" t="s">
        <v>22</v>
      </c>
      <c r="G21" s="2" t="s">
        <v>23</v>
      </c>
      <c r="H21" s="2" t="s">
        <v>24</v>
      </c>
      <c r="I21" s="2" t="s">
        <v>25</v>
      </c>
      <c r="J21" s="2" t="s">
        <v>26</v>
      </c>
      <c r="K21" s="2" t="s">
        <v>27</v>
      </c>
      <c r="L21" s="2" t="s">
        <v>28</v>
      </c>
      <c r="M21" s="2" t="s">
        <v>29</v>
      </c>
      <c r="N21" s="2" t="s">
        <v>30</v>
      </c>
      <c r="O21" s="2" t="s">
        <v>31</v>
      </c>
      <c r="P21" s="2" t="s">
        <v>32</v>
      </c>
      <c r="Q21" s="2" t="s">
        <v>33</v>
      </c>
      <c r="R21" s="2" t="s">
        <v>34</v>
      </c>
      <c r="S21" s="2" t="s">
        <v>35</v>
      </c>
      <c r="T21" s="2" t="s">
        <v>36</v>
      </c>
      <c r="U21" s="2">
        <v>2024</v>
      </c>
    </row>
    <row r="22" spans="1:22" x14ac:dyDescent="0.25">
      <c r="A22" s="44" t="s">
        <v>122</v>
      </c>
      <c r="B22" s="11">
        <f t="shared" ref="B22:U22" si="5">+B8</f>
        <v>33468.756700188591</v>
      </c>
      <c r="C22" s="11">
        <f t="shared" si="5"/>
        <v>33546.456513861602</v>
      </c>
      <c r="D22" s="11">
        <f t="shared" si="5"/>
        <v>34004.546874879874</v>
      </c>
      <c r="E22" s="11">
        <f t="shared" si="5"/>
        <v>34124.087552164478</v>
      </c>
      <c r="F22" s="11">
        <f t="shared" si="5"/>
        <v>34519.628541364065</v>
      </c>
      <c r="G22" s="11">
        <f t="shared" si="5"/>
        <v>34376.230391168778</v>
      </c>
      <c r="H22" s="11">
        <f t="shared" si="5"/>
        <v>35494.342959597168</v>
      </c>
      <c r="I22" s="11">
        <f t="shared" si="5"/>
        <v>35552.469811660252</v>
      </c>
      <c r="J22" s="11">
        <f t="shared" si="5"/>
        <v>36478.143580027536</v>
      </c>
      <c r="K22" s="11">
        <f t="shared" si="5"/>
        <v>37484.473695784989</v>
      </c>
      <c r="L22" s="11">
        <f t="shared" si="5"/>
        <v>38224.901589706569</v>
      </c>
      <c r="M22" s="11">
        <f t="shared" si="5"/>
        <v>38354.842470460884</v>
      </c>
      <c r="N22" s="11">
        <f t="shared" si="5"/>
        <v>38382.890015384</v>
      </c>
      <c r="O22" s="11">
        <f t="shared" si="5"/>
        <v>38646.244872535157</v>
      </c>
      <c r="P22" s="11">
        <f t="shared" si="5"/>
        <v>38307.370852268854</v>
      </c>
      <c r="Q22" s="11">
        <f t="shared" si="5"/>
        <v>40919.678127574618</v>
      </c>
      <c r="R22" s="11">
        <f t="shared" si="5"/>
        <v>39272.75262373373</v>
      </c>
      <c r="S22" s="11">
        <f t="shared" si="5"/>
        <v>35604.45471663952</v>
      </c>
      <c r="T22" s="11">
        <f t="shared" si="5"/>
        <v>36440.260868632708</v>
      </c>
      <c r="U22" s="11">
        <f t="shared" si="5"/>
        <v>38543.877695221236</v>
      </c>
    </row>
    <row r="23" spans="1:22" x14ac:dyDescent="0.25">
      <c r="A23" t="s">
        <v>123</v>
      </c>
      <c r="B23" s="11">
        <f t="shared" ref="B23:U23" si="6">+B22*1000000/B10</f>
        <v>16642.850991068914</v>
      </c>
      <c r="C23" s="11">
        <f t="shared" si="6"/>
        <v>16469.449265233568</v>
      </c>
      <c r="D23" s="11">
        <f t="shared" si="6"/>
        <v>16468.360941534906</v>
      </c>
      <c r="E23" s="11">
        <f t="shared" si="6"/>
        <v>16214.580613050832</v>
      </c>
      <c r="F23" s="11">
        <f t="shared" si="6"/>
        <v>16110.807584558879</v>
      </c>
      <c r="G23" s="11">
        <f t="shared" si="6"/>
        <v>15835.064368059033</v>
      </c>
      <c r="H23" s="11">
        <f t="shared" si="6"/>
        <v>16120.697851153252</v>
      </c>
      <c r="I23" s="11">
        <f t="shared" si="6"/>
        <v>15971.129892041878</v>
      </c>
      <c r="J23" s="11">
        <f t="shared" si="6"/>
        <v>16149.389267028129</v>
      </c>
      <c r="K23" s="11">
        <f t="shared" si="6"/>
        <v>16394.216215909408</v>
      </c>
      <c r="L23" s="11">
        <f t="shared" si="6"/>
        <v>16500.097593507584</v>
      </c>
      <c r="M23" s="11">
        <f t="shared" si="6"/>
        <v>16329.568911430355</v>
      </c>
      <c r="N23" s="11">
        <f t="shared" si="6"/>
        <v>16147.815861188043</v>
      </c>
      <c r="O23" s="11">
        <f t="shared" si="6"/>
        <v>16040.731591745985</v>
      </c>
      <c r="P23" s="11">
        <f t="shared" si="6"/>
        <v>15704.620883155034</v>
      </c>
      <c r="Q23" s="11">
        <f t="shared" si="6"/>
        <v>16532.081106241927</v>
      </c>
      <c r="R23" s="11">
        <f t="shared" si="6"/>
        <v>15632.084893639507</v>
      </c>
      <c r="S23" s="11">
        <f t="shared" si="6"/>
        <v>13985.005988698513</v>
      </c>
      <c r="T23" s="11">
        <f t="shared" si="6"/>
        <v>14114.716837579546</v>
      </c>
      <c r="U23" s="11">
        <f t="shared" si="6"/>
        <v>14726.760001353028</v>
      </c>
    </row>
    <row r="24" spans="1:22" x14ac:dyDescent="0.25">
      <c r="A24" t="s">
        <v>163</v>
      </c>
      <c r="B24" s="11">
        <f>+AVERAGE($B$23:$U$23)</f>
        <v>15904.501532908916</v>
      </c>
      <c r="C24" s="11">
        <f t="shared" ref="C24:U24" si="7">+AVERAGE($B$23:$U$23)</f>
        <v>15904.501532908916</v>
      </c>
      <c r="D24" s="11">
        <f t="shared" si="7"/>
        <v>15904.501532908916</v>
      </c>
      <c r="E24" s="11">
        <f t="shared" si="7"/>
        <v>15904.501532908916</v>
      </c>
      <c r="F24" s="11">
        <f t="shared" si="7"/>
        <v>15904.501532908916</v>
      </c>
      <c r="G24" s="11">
        <f t="shared" si="7"/>
        <v>15904.501532908916</v>
      </c>
      <c r="H24" s="11">
        <f t="shared" si="7"/>
        <v>15904.501532908916</v>
      </c>
      <c r="I24" s="11">
        <f t="shared" si="7"/>
        <v>15904.501532908916</v>
      </c>
      <c r="J24" s="11">
        <f t="shared" si="7"/>
        <v>15904.501532908916</v>
      </c>
      <c r="K24" s="11">
        <f t="shared" si="7"/>
        <v>15904.501532908916</v>
      </c>
      <c r="L24" s="11">
        <f t="shared" si="7"/>
        <v>15904.501532908916</v>
      </c>
      <c r="M24" s="11">
        <f t="shared" si="7"/>
        <v>15904.501532908916</v>
      </c>
      <c r="N24" s="11">
        <f t="shared" si="7"/>
        <v>15904.501532908916</v>
      </c>
      <c r="O24" s="11">
        <f t="shared" si="7"/>
        <v>15904.501532908916</v>
      </c>
      <c r="P24" s="11">
        <f t="shared" si="7"/>
        <v>15904.501532908916</v>
      </c>
      <c r="Q24" s="11">
        <f t="shared" si="7"/>
        <v>15904.501532908916</v>
      </c>
      <c r="R24" s="11">
        <f t="shared" si="7"/>
        <v>15904.501532908916</v>
      </c>
      <c r="S24" s="11">
        <f t="shared" si="7"/>
        <v>15904.501532908916</v>
      </c>
      <c r="T24" s="11">
        <f t="shared" si="7"/>
        <v>15904.501532908916</v>
      </c>
      <c r="U24" s="11">
        <f t="shared" si="7"/>
        <v>15904.501532908916</v>
      </c>
    </row>
    <row r="25" spans="1:22" x14ac:dyDescent="0.25">
      <c r="A25" t="s">
        <v>164</v>
      </c>
      <c r="K25" s="11">
        <f>+AVERAGE($K$23:$U$23)</f>
        <v>15646.154534949903</v>
      </c>
      <c r="L25" s="11">
        <f t="shared" ref="L25:U25" si="8">+AVERAGE($K$23:$U$23)</f>
        <v>15646.154534949903</v>
      </c>
      <c r="M25" s="11">
        <f t="shared" si="8"/>
        <v>15646.154534949903</v>
      </c>
      <c r="N25" s="11">
        <f t="shared" si="8"/>
        <v>15646.154534949903</v>
      </c>
      <c r="O25" s="11">
        <f t="shared" si="8"/>
        <v>15646.154534949903</v>
      </c>
      <c r="P25" s="11">
        <f t="shared" si="8"/>
        <v>15646.154534949903</v>
      </c>
      <c r="Q25" s="11">
        <f t="shared" si="8"/>
        <v>15646.154534949903</v>
      </c>
      <c r="R25" s="11">
        <f t="shared" si="8"/>
        <v>15646.154534949903</v>
      </c>
      <c r="S25" s="11">
        <f t="shared" si="8"/>
        <v>15646.154534949903</v>
      </c>
      <c r="T25" s="11">
        <f t="shared" si="8"/>
        <v>15646.154534949903</v>
      </c>
      <c r="U25" s="11">
        <f t="shared" si="8"/>
        <v>15646.154534949903</v>
      </c>
    </row>
    <row r="26" spans="1:22" x14ac:dyDescent="0.25">
      <c r="A26" t="s">
        <v>165</v>
      </c>
      <c r="P26" s="11">
        <f>+AVERAGE($P$23:$U$23)</f>
        <v>15115.878285111261</v>
      </c>
      <c r="Q26" s="11">
        <f t="shared" ref="Q26:U26" si="9">+AVERAGE($P$23:$U$23)</f>
        <v>15115.878285111261</v>
      </c>
      <c r="R26" s="11">
        <f t="shared" si="9"/>
        <v>15115.878285111261</v>
      </c>
      <c r="S26" s="11">
        <f t="shared" si="9"/>
        <v>15115.878285111261</v>
      </c>
      <c r="T26" s="11">
        <f t="shared" si="9"/>
        <v>15115.878285111261</v>
      </c>
      <c r="U26" s="11">
        <f t="shared" si="9"/>
        <v>15115.878285111261</v>
      </c>
    </row>
    <row r="27" spans="1:22" x14ac:dyDescent="0.25">
      <c r="A27" t="s">
        <v>124</v>
      </c>
      <c r="B27" s="11">
        <f t="shared" ref="B27:U27" si="10">+B22*1000000/B9</f>
        <v>7265.7662238491821</v>
      </c>
      <c r="C27" s="11">
        <f t="shared" si="10"/>
        <v>7229.4985460517282</v>
      </c>
      <c r="D27" s="11">
        <f t="shared" si="10"/>
        <v>7264.1686554753351</v>
      </c>
      <c r="E27" s="11">
        <f t="shared" si="10"/>
        <v>7203.4738775873784</v>
      </c>
      <c r="F27" s="11">
        <f t="shared" si="10"/>
        <v>7192.7101434482011</v>
      </c>
      <c r="G27" s="11">
        <f t="shared" si="10"/>
        <v>7075.9206016815651</v>
      </c>
      <c r="H27" s="11">
        <f t="shared" si="10"/>
        <v>7213.8501494515422</v>
      </c>
      <c r="I27" s="11">
        <f t="shared" si="10"/>
        <v>7130.645165569952</v>
      </c>
      <c r="J27" s="11">
        <f t="shared" si="10"/>
        <v>7221.5715002702354</v>
      </c>
      <c r="K27" s="11">
        <f t="shared" si="10"/>
        <v>7336.8688258232023</v>
      </c>
      <c r="L27" s="11">
        <f t="shared" si="10"/>
        <v>7399.6064095578122</v>
      </c>
      <c r="M27" s="11">
        <f t="shared" si="10"/>
        <v>7356.1474516058033</v>
      </c>
      <c r="N27" s="11">
        <f t="shared" si="10"/>
        <v>7299.462929942033</v>
      </c>
      <c r="O27" s="11">
        <f t="shared" si="10"/>
        <v>7297.7766853195362</v>
      </c>
      <c r="P27" s="11">
        <f t="shared" si="10"/>
        <v>7189.5357865394344</v>
      </c>
      <c r="Q27" s="11">
        <f t="shared" si="10"/>
        <v>7623.4873308967199</v>
      </c>
      <c r="R27" s="11">
        <f t="shared" si="10"/>
        <v>7284.3748264557162</v>
      </c>
      <c r="S27" s="11">
        <f t="shared" si="10"/>
        <v>6562.7065043102957</v>
      </c>
      <c r="T27" s="11">
        <f t="shared" si="10"/>
        <v>6638.7988867580425</v>
      </c>
      <c r="U27" s="11">
        <f t="shared" si="10"/>
        <v>6958.1121358679757</v>
      </c>
    </row>
    <row r="28" spans="1:22" x14ac:dyDescent="0.25">
      <c r="A28" t="s">
        <v>160</v>
      </c>
      <c r="B28" s="11">
        <f>+AVERAGE($B$27:$U$27)</f>
        <v>7187.2241318230854</v>
      </c>
      <c r="C28" s="11">
        <f>+AVERAGE($B$27:$U$27)</f>
        <v>7187.2241318230854</v>
      </c>
      <c r="D28" s="11">
        <f t="shared" ref="D28:U28" si="11">+AVERAGE($B$27:$U$27)</f>
        <v>7187.2241318230854</v>
      </c>
      <c r="E28" s="11">
        <f t="shared" si="11"/>
        <v>7187.2241318230854</v>
      </c>
      <c r="F28" s="11">
        <f t="shared" si="11"/>
        <v>7187.2241318230854</v>
      </c>
      <c r="G28" s="11">
        <f t="shared" si="11"/>
        <v>7187.2241318230854</v>
      </c>
      <c r="H28" s="11">
        <f t="shared" si="11"/>
        <v>7187.2241318230854</v>
      </c>
      <c r="I28" s="11">
        <f t="shared" si="11"/>
        <v>7187.2241318230854</v>
      </c>
      <c r="J28" s="11">
        <f t="shared" si="11"/>
        <v>7187.2241318230854</v>
      </c>
      <c r="K28" s="11">
        <f t="shared" si="11"/>
        <v>7187.2241318230854</v>
      </c>
      <c r="L28" s="11">
        <f t="shared" si="11"/>
        <v>7187.2241318230854</v>
      </c>
      <c r="M28" s="11">
        <f t="shared" si="11"/>
        <v>7187.2241318230854</v>
      </c>
      <c r="N28" s="11">
        <f t="shared" si="11"/>
        <v>7187.2241318230854</v>
      </c>
      <c r="O28" s="11">
        <f t="shared" si="11"/>
        <v>7187.2241318230854</v>
      </c>
      <c r="P28" s="11">
        <f t="shared" si="11"/>
        <v>7187.2241318230854</v>
      </c>
      <c r="Q28" s="11">
        <f t="shared" si="11"/>
        <v>7187.2241318230854</v>
      </c>
      <c r="R28" s="11">
        <f t="shared" si="11"/>
        <v>7187.2241318230854</v>
      </c>
      <c r="S28" s="11">
        <f t="shared" si="11"/>
        <v>7187.2241318230854</v>
      </c>
      <c r="T28" s="11">
        <f t="shared" si="11"/>
        <v>7187.2241318230854</v>
      </c>
      <c r="U28" s="11">
        <f t="shared" si="11"/>
        <v>7187.2241318230854</v>
      </c>
    </row>
    <row r="29" spans="1:22" x14ac:dyDescent="0.25">
      <c r="A29" t="s">
        <v>159</v>
      </c>
      <c r="K29" s="11">
        <f>+AVERAGE($K$27:$U$27)</f>
        <v>7176.9888884615066</v>
      </c>
      <c r="L29" s="11">
        <f t="shared" ref="L29:U29" si="12">+AVERAGE($K$27:$U$27)</f>
        <v>7176.9888884615066</v>
      </c>
      <c r="M29" s="11">
        <f t="shared" si="12"/>
        <v>7176.9888884615066</v>
      </c>
      <c r="N29" s="11">
        <f t="shared" si="12"/>
        <v>7176.9888884615066</v>
      </c>
      <c r="O29" s="11">
        <f t="shared" si="12"/>
        <v>7176.9888884615066</v>
      </c>
      <c r="P29" s="11">
        <f t="shared" si="12"/>
        <v>7176.9888884615066</v>
      </c>
      <c r="Q29" s="11">
        <f t="shared" si="12"/>
        <v>7176.9888884615066</v>
      </c>
      <c r="R29" s="11">
        <f t="shared" si="12"/>
        <v>7176.9888884615066</v>
      </c>
      <c r="S29" s="11">
        <f t="shared" si="12"/>
        <v>7176.9888884615066</v>
      </c>
      <c r="T29" s="11">
        <f t="shared" si="12"/>
        <v>7176.9888884615066</v>
      </c>
      <c r="U29" s="11">
        <f t="shared" si="12"/>
        <v>7176.9888884615066</v>
      </c>
    </row>
    <row r="30" spans="1:22" x14ac:dyDescent="0.25">
      <c r="A30" t="s">
        <v>158</v>
      </c>
      <c r="P30" s="11">
        <f>+AVERAGE($P$27:$U$27)</f>
        <v>7042.8359118046974</v>
      </c>
      <c r="Q30" s="11">
        <f t="shared" ref="Q30:U30" si="13">+AVERAGE($P$27:$U$27)</f>
        <v>7042.8359118046974</v>
      </c>
      <c r="R30" s="11">
        <f t="shared" si="13"/>
        <v>7042.8359118046974</v>
      </c>
      <c r="S30" s="11">
        <f t="shared" si="13"/>
        <v>7042.8359118046974</v>
      </c>
      <c r="T30" s="11">
        <f t="shared" si="13"/>
        <v>7042.8359118046974</v>
      </c>
      <c r="U30" s="11">
        <f t="shared" si="13"/>
        <v>7042.8359118046974</v>
      </c>
    </row>
    <row r="31" spans="1:22" x14ac:dyDescent="0.25">
      <c r="P31" s="11"/>
      <c r="Q31" s="11"/>
      <c r="R31" s="11"/>
      <c r="S31" s="11"/>
      <c r="T31" s="11"/>
      <c r="U31" s="11"/>
    </row>
    <row r="32" spans="1:22" x14ac:dyDescent="0.25">
      <c r="A32" t="s">
        <v>177</v>
      </c>
      <c r="B32" s="2" t="s">
        <v>18</v>
      </c>
      <c r="C32" s="2" t="s">
        <v>19</v>
      </c>
      <c r="D32" s="2" t="s">
        <v>20</v>
      </c>
      <c r="E32" s="2" t="s">
        <v>21</v>
      </c>
      <c r="F32" s="2" t="s">
        <v>22</v>
      </c>
      <c r="G32" s="2" t="s">
        <v>23</v>
      </c>
      <c r="H32" s="2" t="s">
        <v>24</v>
      </c>
      <c r="I32" s="2" t="s">
        <v>25</v>
      </c>
      <c r="J32" s="2" t="s">
        <v>26</v>
      </c>
      <c r="K32" s="2" t="s">
        <v>27</v>
      </c>
      <c r="L32" s="2" t="s">
        <v>28</v>
      </c>
      <c r="M32" s="2" t="s">
        <v>29</v>
      </c>
      <c r="N32" s="2" t="s">
        <v>30</v>
      </c>
      <c r="O32" s="2" t="s">
        <v>31</v>
      </c>
      <c r="P32" s="2" t="s">
        <v>32</v>
      </c>
      <c r="Q32" s="2" t="s">
        <v>33</v>
      </c>
      <c r="R32" s="2" t="s">
        <v>34</v>
      </c>
      <c r="S32" s="2" t="s">
        <v>35</v>
      </c>
      <c r="T32" s="2" t="s">
        <v>36</v>
      </c>
      <c r="U32" s="2">
        <v>2024</v>
      </c>
    </row>
    <row r="33" spans="1:22" x14ac:dyDescent="0.25">
      <c r="A33" s="44" t="s">
        <v>125</v>
      </c>
      <c r="B33" s="11"/>
      <c r="C33" s="11"/>
      <c r="D33" s="11"/>
      <c r="E33" s="11"/>
      <c r="F33" s="11"/>
      <c r="G33" s="11"/>
      <c r="H33" s="11"/>
      <c r="I33" s="11"/>
      <c r="J33" s="11"/>
      <c r="K33" s="11"/>
      <c r="L33" s="11">
        <v>25013.560830331699</v>
      </c>
      <c r="M33" s="11">
        <v>25166.781736912999</v>
      </c>
      <c r="N33" s="11">
        <v>25016.110713526399</v>
      </c>
      <c r="O33" s="11">
        <v>25561.958185698299</v>
      </c>
      <c r="P33" s="11">
        <v>25194.2413973369</v>
      </c>
      <c r="Q33" s="11">
        <v>25542.345375532401</v>
      </c>
      <c r="R33" s="11">
        <v>25549.930110829198</v>
      </c>
      <c r="S33" s="11">
        <v>24019.136106468501</v>
      </c>
      <c r="T33" s="11">
        <v>22978.4724482786</v>
      </c>
      <c r="U33" s="11">
        <v>23377.0781458809</v>
      </c>
      <c r="V33" s="11">
        <v>23900</v>
      </c>
    </row>
    <row r="34" spans="1:22" x14ac:dyDescent="0.25">
      <c r="A34" t="s">
        <v>124</v>
      </c>
      <c r="B34" s="11"/>
      <c r="C34" s="11"/>
      <c r="D34" s="11"/>
      <c r="E34" s="11"/>
      <c r="F34" s="11"/>
      <c r="G34" s="11"/>
      <c r="H34" s="11"/>
      <c r="I34" s="11"/>
      <c r="J34" s="11"/>
      <c r="K34" s="11"/>
      <c r="L34" s="11">
        <f t="shared" ref="L34:U34" si="14">+L33/L9*1000000</f>
        <v>4842.1447106047999</v>
      </c>
      <c r="M34" s="11">
        <f t="shared" si="14"/>
        <v>4826.784453141503</v>
      </c>
      <c r="N34" s="11">
        <f t="shared" si="14"/>
        <v>4757.4367832000999</v>
      </c>
      <c r="O34" s="11">
        <f t="shared" si="14"/>
        <v>4827.0009956717613</v>
      </c>
      <c r="P34" s="11">
        <f t="shared" si="14"/>
        <v>4728.4607664516543</v>
      </c>
      <c r="Q34" s="11">
        <f t="shared" si="14"/>
        <v>4758.6333832998107</v>
      </c>
      <c r="R34" s="11">
        <f t="shared" si="14"/>
        <v>4739.0431096126422</v>
      </c>
      <c r="S34" s="11">
        <f t="shared" si="14"/>
        <v>4427.2701831371523</v>
      </c>
      <c r="T34" s="11">
        <f t="shared" si="14"/>
        <v>4186.28883747495</v>
      </c>
      <c r="U34" s="11">
        <f t="shared" si="14"/>
        <v>4220.1340621251229</v>
      </c>
    </row>
    <row r="35" spans="1:22" x14ac:dyDescent="0.25">
      <c r="A35" t="s">
        <v>176</v>
      </c>
      <c r="K35" s="11"/>
      <c r="L35" s="11">
        <f>+AVERAGE($L$34:$U$34)</f>
        <v>4631.3197284719499</v>
      </c>
      <c r="M35" s="11">
        <f t="shared" ref="M35:U35" si="15">+AVERAGE($L$34:$U$34)</f>
        <v>4631.3197284719499</v>
      </c>
      <c r="N35" s="11">
        <f t="shared" si="15"/>
        <v>4631.3197284719499</v>
      </c>
      <c r="O35" s="11">
        <f t="shared" si="15"/>
        <v>4631.3197284719499</v>
      </c>
      <c r="P35" s="11">
        <f>+AVERAGE($L$34:$U$34)</f>
        <v>4631.3197284719499</v>
      </c>
      <c r="Q35" s="11">
        <f t="shared" si="15"/>
        <v>4631.3197284719499</v>
      </c>
      <c r="R35" s="11">
        <f t="shared" si="15"/>
        <v>4631.3197284719499</v>
      </c>
      <c r="S35" s="11">
        <f t="shared" si="15"/>
        <v>4631.3197284719499</v>
      </c>
      <c r="T35" s="11">
        <f t="shared" si="15"/>
        <v>4631.3197284719499</v>
      </c>
      <c r="U35" s="11">
        <f t="shared" si="15"/>
        <v>4631.3197284719499</v>
      </c>
    </row>
    <row r="36" spans="1:22" x14ac:dyDescent="0.25">
      <c r="A36" t="s">
        <v>178</v>
      </c>
      <c r="P36" s="11"/>
      <c r="Q36" s="11">
        <f t="shared" ref="Q36:S36" si="16">+AVERAGE($Q$34:$U$34)</f>
        <v>4466.2739151299356</v>
      </c>
      <c r="R36" s="11">
        <f t="shared" si="16"/>
        <v>4466.2739151299356</v>
      </c>
      <c r="S36" s="11">
        <f t="shared" si="16"/>
        <v>4466.2739151299356</v>
      </c>
      <c r="T36" s="11">
        <f>+AVERAGE($Q$34:$U$34)</f>
        <v>4466.2739151299356</v>
      </c>
      <c r="U36" s="11">
        <f>+AVERAGE($Q$34:$U$34)</f>
        <v>4466.2739151299356</v>
      </c>
    </row>
    <row r="37" spans="1:22" x14ac:dyDescent="0.25">
      <c r="A37" t="s">
        <v>175</v>
      </c>
      <c r="S37" s="11">
        <f>+AVERAGE($S$34:$U$34)</f>
        <v>4277.8976942457411</v>
      </c>
      <c r="T37" s="11">
        <f t="shared" ref="T37:U37" si="17">+AVERAGE($S$34:$U$34)</f>
        <v>4277.8976942457411</v>
      </c>
      <c r="U37" s="11">
        <f t="shared" si="17"/>
        <v>4277.8976942457411</v>
      </c>
    </row>
    <row r="54" spans="1:22" ht="18.75" x14ac:dyDescent="0.3">
      <c r="A54" s="1"/>
    </row>
    <row r="56" spans="1:22" x14ac:dyDescent="0.25">
      <c r="B56" s="2"/>
      <c r="C56" s="2"/>
      <c r="D56" s="2"/>
      <c r="E56" s="2"/>
      <c r="F56" s="2"/>
      <c r="G56" s="2"/>
      <c r="H56" s="2"/>
      <c r="I56" s="2"/>
      <c r="J56" s="2"/>
      <c r="K56" s="2"/>
      <c r="L56" s="2"/>
      <c r="M56" s="2"/>
      <c r="N56" s="2"/>
      <c r="O56" s="2"/>
      <c r="P56" s="2"/>
      <c r="Q56" s="2"/>
      <c r="R56" s="2"/>
      <c r="S56" s="2"/>
      <c r="T56" s="2"/>
      <c r="U56" s="40"/>
    </row>
    <row r="57" spans="1:22" x14ac:dyDescent="0.25">
      <c r="A57" s="2"/>
      <c r="B57" s="27"/>
      <c r="C57" s="27"/>
      <c r="D57" s="27"/>
      <c r="E57" s="19"/>
      <c r="F57" s="19"/>
      <c r="G57" s="19"/>
      <c r="H57" s="19"/>
      <c r="I57" s="19"/>
      <c r="J57" s="19"/>
      <c r="K57" s="19"/>
      <c r="L57" s="19"/>
      <c r="M57" s="19"/>
      <c r="N57" s="19"/>
      <c r="O57" s="19"/>
      <c r="P57" s="19"/>
      <c r="Q57" s="19"/>
      <c r="R57" s="19"/>
      <c r="S57" s="19"/>
      <c r="T57" s="19"/>
      <c r="U57" s="19"/>
      <c r="V57" s="17"/>
    </row>
    <row r="58" spans="1:22" x14ac:dyDescent="0.25">
      <c r="A58" s="2"/>
      <c r="B58" s="27"/>
      <c r="C58" s="27"/>
      <c r="D58" s="27"/>
      <c r="E58" s="19"/>
      <c r="F58" s="19"/>
      <c r="G58" s="19"/>
      <c r="H58" s="19"/>
      <c r="I58" s="19"/>
      <c r="J58" s="19"/>
      <c r="K58" s="19"/>
      <c r="L58" s="19"/>
      <c r="M58" s="19"/>
      <c r="N58" s="19"/>
      <c r="O58" s="19"/>
      <c r="P58" s="19"/>
      <c r="Q58" s="19"/>
      <c r="R58" s="19"/>
      <c r="S58" s="19"/>
      <c r="T58" s="19"/>
      <c r="U58" s="19"/>
      <c r="V58" s="17"/>
    </row>
    <row r="59" spans="1:22" x14ac:dyDescent="0.25">
      <c r="A59" s="2"/>
      <c r="B59" s="19"/>
      <c r="C59" s="19"/>
      <c r="D59" s="19"/>
      <c r="E59" s="19"/>
      <c r="F59" s="19"/>
      <c r="G59" s="19"/>
      <c r="H59" s="19"/>
      <c r="I59" s="19"/>
      <c r="J59" s="19"/>
      <c r="K59" s="19"/>
      <c r="L59" s="19"/>
      <c r="M59" s="19"/>
      <c r="N59" s="19"/>
      <c r="O59" s="19"/>
      <c r="P59" s="19"/>
      <c r="Q59" s="19"/>
      <c r="R59" s="19"/>
      <c r="S59" s="19"/>
      <c r="T59" s="19"/>
      <c r="U59" s="19"/>
      <c r="V59" s="17"/>
    </row>
    <row r="60" spans="1:22" x14ac:dyDescent="0.25">
      <c r="A60" s="2"/>
      <c r="B60" s="27"/>
      <c r="C60" s="27"/>
      <c r="D60" s="27"/>
      <c r="E60" s="19"/>
      <c r="F60" s="19"/>
      <c r="G60" s="19"/>
      <c r="H60" s="19"/>
      <c r="I60" s="19"/>
      <c r="J60" s="19"/>
      <c r="K60" s="19"/>
      <c r="L60" s="19"/>
      <c r="M60" s="19"/>
      <c r="N60" s="19"/>
      <c r="O60" s="19"/>
      <c r="P60" s="19"/>
      <c r="Q60" s="19"/>
      <c r="R60" s="19"/>
      <c r="S60" s="19"/>
      <c r="T60" s="19"/>
      <c r="U60" s="19"/>
      <c r="V60" s="45"/>
    </row>
    <row r="61" spans="1:22" x14ac:dyDescent="0.25">
      <c r="A61" s="2"/>
      <c r="B61" s="27"/>
      <c r="C61" s="27"/>
      <c r="D61" s="27"/>
      <c r="E61" s="19"/>
      <c r="F61" s="19"/>
      <c r="G61" s="19"/>
      <c r="H61" s="19"/>
      <c r="I61" s="19"/>
      <c r="J61" s="19"/>
      <c r="K61" s="19"/>
      <c r="L61" s="19"/>
      <c r="M61" s="19"/>
      <c r="N61" s="19"/>
      <c r="O61" s="19"/>
      <c r="P61" s="19"/>
      <c r="Q61" s="19"/>
      <c r="R61" s="19"/>
      <c r="S61" s="19"/>
      <c r="T61" s="19"/>
      <c r="U61" s="19"/>
      <c r="V61" s="17"/>
    </row>
    <row r="62" spans="1:22" x14ac:dyDescent="0.25">
      <c r="A62" s="2"/>
      <c r="B62" s="27"/>
      <c r="C62" s="27"/>
      <c r="D62" s="27"/>
      <c r="E62" s="19"/>
      <c r="F62" s="19"/>
      <c r="G62" s="19"/>
      <c r="H62" s="19"/>
      <c r="I62" s="19"/>
      <c r="J62" s="19"/>
      <c r="K62" s="19"/>
      <c r="L62" s="19"/>
      <c r="M62" s="19"/>
      <c r="N62" s="19"/>
      <c r="O62" s="19"/>
      <c r="P62" s="19"/>
      <c r="Q62" s="19"/>
      <c r="R62" s="19"/>
      <c r="S62" s="19"/>
      <c r="T62" s="19"/>
      <c r="U62" s="19"/>
      <c r="V62" s="17"/>
    </row>
    <row r="63" spans="1:22" x14ac:dyDescent="0.25">
      <c r="A63" s="2"/>
      <c r="B63" s="27"/>
      <c r="C63" s="27"/>
      <c r="D63" s="27"/>
      <c r="E63" s="19"/>
      <c r="F63" s="19"/>
      <c r="G63" s="19"/>
      <c r="H63" s="19"/>
      <c r="I63" s="19"/>
      <c r="J63" s="19"/>
      <c r="K63" s="19"/>
      <c r="L63" s="19"/>
      <c r="M63" s="19"/>
      <c r="N63" s="19"/>
      <c r="O63" s="19"/>
      <c r="P63" s="19"/>
      <c r="Q63" s="19"/>
      <c r="R63" s="19"/>
      <c r="S63" s="19"/>
      <c r="T63" s="19"/>
      <c r="U63" s="19"/>
      <c r="V63" s="17"/>
    </row>
    <row r="64" spans="1:22" x14ac:dyDescent="0.25">
      <c r="A64" s="2"/>
      <c r="B64" s="27"/>
      <c r="C64" s="27"/>
      <c r="D64" s="27"/>
      <c r="E64" s="19"/>
      <c r="F64" s="19"/>
      <c r="G64" s="19"/>
      <c r="H64" s="19"/>
      <c r="I64" s="19"/>
      <c r="J64" s="19"/>
      <c r="K64" s="19"/>
      <c r="L64" s="19"/>
      <c r="M64" s="19"/>
      <c r="N64" s="19"/>
      <c r="O64" s="19"/>
      <c r="P64" s="19"/>
      <c r="Q64" s="19"/>
      <c r="R64" s="19"/>
      <c r="S64" s="19"/>
      <c r="T64" s="19"/>
      <c r="U64" s="19"/>
      <c r="V64" s="17"/>
    </row>
    <row r="65" spans="1:22" x14ac:dyDescent="0.25">
      <c r="A65" s="2"/>
      <c r="B65" s="27"/>
      <c r="C65" s="27"/>
      <c r="D65" s="27"/>
      <c r="E65" s="19"/>
      <c r="F65" s="19"/>
      <c r="G65" s="19"/>
      <c r="H65" s="19"/>
      <c r="I65" s="19"/>
      <c r="J65" s="19"/>
      <c r="K65" s="19"/>
      <c r="L65" s="19"/>
      <c r="M65" s="19"/>
      <c r="N65" s="19"/>
      <c r="O65" s="19"/>
      <c r="P65" s="19"/>
      <c r="Q65" s="19"/>
      <c r="R65" s="19"/>
      <c r="S65" s="19"/>
      <c r="T65" s="19"/>
      <c r="U65" s="19"/>
      <c r="V65" s="17"/>
    </row>
    <row r="66" spans="1:22" x14ac:dyDescent="0.25">
      <c r="A66" s="2"/>
      <c r="B66" s="19"/>
      <c r="C66" s="19"/>
      <c r="D66" s="19"/>
      <c r="E66" s="19"/>
      <c r="F66" s="19"/>
      <c r="G66" s="19"/>
      <c r="H66" s="19"/>
      <c r="I66" s="19"/>
      <c r="J66" s="19"/>
      <c r="K66" s="19"/>
      <c r="L66" s="19"/>
      <c r="M66" s="19"/>
      <c r="N66" s="19"/>
      <c r="O66" s="19"/>
      <c r="P66" s="19"/>
      <c r="Q66" s="19"/>
      <c r="R66" s="19"/>
      <c r="S66" s="19"/>
      <c r="T66" s="19"/>
      <c r="U66" s="19"/>
      <c r="V66" s="45"/>
    </row>
    <row r="67" spans="1:22" x14ac:dyDescent="0.25">
      <c r="A67" s="2"/>
      <c r="B67" s="19"/>
      <c r="C67" s="19"/>
      <c r="D67" s="19"/>
      <c r="E67" s="19"/>
      <c r="F67" s="19"/>
      <c r="G67" s="19"/>
      <c r="H67" s="19"/>
      <c r="I67" s="19"/>
      <c r="J67" s="19"/>
      <c r="K67" s="19"/>
      <c r="L67" s="19"/>
      <c r="M67" s="19"/>
      <c r="N67" s="19"/>
      <c r="O67" s="19"/>
      <c r="P67" s="19"/>
      <c r="Q67" s="19"/>
      <c r="R67" s="19"/>
      <c r="S67" s="19"/>
      <c r="T67" s="19"/>
      <c r="U67" s="19"/>
      <c r="V67" s="17"/>
    </row>
    <row r="68" spans="1:22" x14ac:dyDescent="0.25">
      <c r="A68" s="2"/>
      <c r="B68" s="19"/>
      <c r="C68" s="19"/>
      <c r="D68" s="19"/>
      <c r="E68" s="19"/>
      <c r="F68" s="19"/>
      <c r="G68" s="19"/>
      <c r="H68" s="19"/>
      <c r="I68" s="19"/>
      <c r="J68" s="19"/>
      <c r="K68" s="19"/>
      <c r="L68" s="19"/>
      <c r="M68" s="19"/>
      <c r="N68" s="19"/>
      <c r="O68" s="19"/>
      <c r="P68" s="19"/>
      <c r="Q68" s="19"/>
      <c r="R68" s="19"/>
      <c r="S68" s="19"/>
      <c r="T68" s="19"/>
      <c r="U68" s="19"/>
      <c r="V68" s="17"/>
    </row>
    <row r="69" spans="1:22" x14ac:dyDescent="0.25">
      <c r="A69" s="2"/>
      <c r="B69" s="27"/>
      <c r="C69" s="27"/>
      <c r="D69" s="27"/>
      <c r="E69" s="19"/>
      <c r="F69" s="19"/>
      <c r="G69" s="19"/>
      <c r="H69" s="19"/>
      <c r="I69" s="19"/>
      <c r="J69" s="19"/>
      <c r="K69" s="19"/>
      <c r="L69" s="19"/>
      <c r="M69" s="19"/>
      <c r="N69" s="19"/>
      <c r="O69" s="19"/>
      <c r="P69" s="19"/>
      <c r="Q69" s="19"/>
      <c r="R69" s="19"/>
      <c r="S69" s="19"/>
      <c r="T69" s="19"/>
      <c r="U69" s="19"/>
      <c r="V69" s="17"/>
    </row>
    <row r="70" spans="1:22" x14ac:dyDescent="0.25">
      <c r="A70" s="2"/>
      <c r="B70" s="27"/>
      <c r="C70" s="27"/>
      <c r="D70" s="27"/>
      <c r="E70" s="19"/>
      <c r="F70" s="19"/>
      <c r="G70" s="19"/>
      <c r="H70" s="19"/>
      <c r="I70" s="19"/>
      <c r="J70" s="19"/>
      <c r="K70" s="19"/>
      <c r="L70" s="19"/>
      <c r="M70" s="19"/>
      <c r="N70" s="19"/>
      <c r="O70" s="19"/>
      <c r="P70" s="19"/>
      <c r="Q70" s="19"/>
      <c r="R70" s="19"/>
      <c r="S70" s="19"/>
      <c r="T70" s="19"/>
      <c r="U70" s="19"/>
      <c r="V70" s="17"/>
    </row>
    <row r="71" spans="1:22" x14ac:dyDescent="0.25">
      <c r="A71" s="5"/>
      <c r="B71" s="41"/>
      <c r="C71" s="41"/>
      <c r="D71" s="41"/>
      <c r="E71" s="42"/>
      <c r="F71" s="42"/>
      <c r="G71" s="42"/>
      <c r="H71" s="42"/>
      <c r="I71" s="42"/>
      <c r="J71" s="42"/>
      <c r="K71" s="42"/>
      <c r="L71" s="42"/>
      <c r="M71" s="42"/>
      <c r="N71" s="42"/>
      <c r="O71" s="42"/>
      <c r="P71" s="42"/>
      <c r="Q71" s="42"/>
      <c r="R71" s="42"/>
      <c r="S71" s="42"/>
      <c r="T71" s="42"/>
      <c r="U71" s="42"/>
      <c r="V71" s="13"/>
    </row>
    <row r="72" spans="1:22" x14ac:dyDescent="0.25">
      <c r="A72" s="2"/>
      <c r="B72" s="11"/>
      <c r="C72" s="11"/>
      <c r="D72" s="11"/>
      <c r="E72" s="11"/>
      <c r="F72" s="11"/>
      <c r="G72" s="11"/>
      <c r="H72" s="11"/>
      <c r="I72" s="11"/>
      <c r="J72" s="11"/>
      <c r="K72" s="11"/>
      <c r="L72" s="11"/>
      <c r="M72" s="11"/>
      <c r="N72" s="11"/>
      <c r="O72" s="11"/>
      <c r="P72" s="11"/>
      <c r="Q72" s="11"/>
      <c r="R72" s="11"/>
      <c r="S72" s="11"/>
      <c r="T72" s="11"/>
      <c r="U72" s="11"/>
      <c r="V72" s="17"/>
    </row>
    <row r="73" spans="1:22" x14ac:dyDescent="0.25">
      <c r="A73" s="2"/>
      <c r="E73" s="11"/>
      <c r="F73" s="11"/>
      <c r="G73" s="11"/>
      <c r="H73" s="11"/>
      <c r="I73" s="11"/>
      <c r="J73" s="11"/>
      <c r="K73" s="11"/>
      <c r="L73" s="11"/>
      <c r="M73" s="11"/>
      <c r="N73" s="11"/>
      <c r="O73" s="11"/>
      <c r="P73" s="11"/>
      <c r="Q73" s="11"/>
      <c r="R73" s="11"/>
      <c r="S73" s="11"/>
      <c r="T73" s="11"/>
      <c r="U73" s="11"/>
      <c r="V73" s="17"/>
    </row>
  </sheetData>
  <pageMargins left="0.75" right="0.75" top="0.75" bottom="0.5" header="0.5" footer="0.75"/>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9"/>
  <sheetViews>
    <sheetView zoomScaleNormal="100" workbookViewId="0">
      <selection activeCell="V21" sqref="V21"/>
    </sheetView>
  </sheetViews>
  <sheetFormatPr baseColWidth="10" defaultColWidth="9.140625" defaultRowHeight="15" x14ac:dyDescent="0.25"/>
  <cols>
    <col min="1" max="1" width="28.5703125" customWidth="1"/>
    <col min="2" max="2" width="23.7109375" customWidth="1"/>
    <col min="3" max="3" width="8.85546875" customWidth="1"/>
    <col min="4" max="21" width="9.140625" customWidth="1"/>
    <col min="22" max="22" width="10.85546875" bestFit="1" customWidth="1"/>
  </cols>
  <sheetData>
    <row r="1" spans="1:22" ht="18.75" x14ac:dyDescent="0.3">
      <c r="A1" s="1" t="s">
        <v>44</v>
      </c>
    </row>
    <row r="3" spans="1:22" x14ac:dyDescent="0.25">
      <c r="A3" s="5" t="s">
        <v>45</v>
      </c>
    </row>
    <row r="4" spans="1:22" x14ac:dyDescent="0.25">
      <c r="A4" s="9"/>
      <c r="B4" s="9"/>
      <c r="C4" s="10" t="s">
        <v>18</v>
      </c>
      <c r="D4" s="10" t="s">
        <v>19</v>
      </c>
      <c r="E4" s="10" t="s">
        <v>20</v>
      </c>
      <c r="F4" s="10" t="s">
        <v>21</v>
      </c>
      <c r="G4" s="10" t="s">
        <v>22</v>
      </c>
      <c r="H4" s="10" t="s">
        <v>23</v>
      </c>
      <c r="I4" s="10" t="s">
        <v>24</v>
      </c>
      <c r="J4" s="10" t="s">
        <v>25</v>
      </c>
      <c r="K4" s="10" t="s">
        <v>26</v>
      </c>
      <c r="L4" s="10" t="s">
        <v>27</v>
      </c>
      <c r="M4" s="10" t="s">
        <v>28</v>
      </c>
      <c r="N4" s="10" t="s">
        <v>29</v>
      </c>
      <c r="O4" s="10" t="s">
        <v>30</v>
      </c>
      <c r="P4" s="10" t="s">
        <v>31</v>
      </c>
      <c r="Q4" s="10" t="s">
        <v>32</v>
      </c>
      <c r="R4" s="10" t="s">
        <v>33</v>
      </c>
      <c r="S4" s="10" t="s">
        <v>34</v>
      </c>
      <c r="T4" s="10" t="s">
        <v>35</v>
      </c>
      <c r="U4" s="10" t="s">
        <v>36</v>
      </c>
      <c r="V4" s="46" t="s">
        <v>58</v>
      </c>
    </row>
    <row r="5" spans="1:22" x14ac:dyDescent="0.25">
      <c r="A5" s="54" t="s">
        <v>46</v>
      </c>
      <c r="B5" s="10" t="s">
        <v>47</v>
      </c>
      <c r="C5" s="36">
        <v>0.22</v>
      </c>
      <c r="D5" s="36">
        <v>0.2</v>
      </c>
      <c r="E5" s="36">
        <v>0.24</v>
      </c>
      <c r="F5" s="36">
        <v>0.28000000000000003</v>
      </c>
      <c r="G5" s="36">
        <v>0.23</v>
      </c>
      <c r="H5" s="36">
        <v>0.31</v>
      </c>
      <c r="I5" s="36">
        <v>0.23</v>
      </c>
      <c r="J5" s="36">
        <v>0.26</v>
      </c>
      <c r="K5" s="36">
        <v>0.21</v>
      </c>
      <c r="L5" s="36">
        <v>0.21</v>
      </c>
      <c r="M5" s="36">
        <v>0.13</v>
      </c>
      <c r="N5" s="36">
        <v>0.16</v>
      </c>
      <c r="O5" s="36">
        <v>0.14000000000000001</v>
      </c>
      <c r="P5" s="36">
        <v>0.14000000000000001</v>
      </c>
      <c r="Q5" s="36">
        <v>0.11</v>
      </c>
      <c r="R5" s="36">
        <v>0.11</v>
      </c>
      <c r="S5" s="36">
        <v>0.1</v>
      </c>
      <c r="T5" s="36">
        <v>0.11</v>
      </c>
      <c r="U5" s="36">
        <v>0.13</v>
      </c>
      <c r="V5" s="36">
        <v>0.09</v>
      </c>
    </row>
    <row r="6" spans="1:22" x14ac:dyDescent="0.25">
      <c r="A6" s="54"/>
      <c r="B6" s="10" t="s">
        <v>48</v>
      </c>
      <c r="C6" s="36">
        <v>2.19</v>
      </c>
      <c r="D6" s="36">
        <v>2.44</v>
      </c>
      <c r="E6" s="36">
        <v>2.4</v>
      </c>
      <c r="F6" s="36">
        <v>2.59</v>
      </c>
      <c r="G6" s="36">
        <v>2.92</v>
      </c>
      <c r="H6" s="36">
        <v>3.38</v>
      </c>
      <c r="I6" s="36">
        <v>3.12</v>
      </c>
      <c r="J6" s="36">
        <v>3.54</v>
      </c>
      <c r="K6" s="36">
        <v>2.79</v>
      </c>
      <c r="L6" s="36">
        <v>2.4</v>
      </c>
      <c r="M6" s="36">
        <v>2.61</v>
      </c>
      <c r="N6" s="36">
        <v>2.63</v>
      </c>
      <c r="O6" s="36">
        <v>2.94</v>
      </c>
      <c r="P6" s="36">
        <v>2.85</v>
      </c>
      <c r="Q6" s="36">
        <v>2.72</v>
      </c>
      <c r="R6" s="36">
        <v>2.78</v>
      </c>
      <c r="S6" s="36">
        <v>3.53</v>
      </c>
      <c r="T6" s="36">
        <v>3.66</v>
      </c>
      <c r="U6" s="36">
        <v>3.52</v>
      </c>
      <c r="V6" s="36">
        <v>3.26</v>
      </c>
    </row>
    <row r="7" spans="1:22" x14ac:dyDescent="0.25">
      <c r="A7" s="54"/>
      <c r="B7" s="10" t="s">
        <v>49</v>
      </c>
      <c r="C7" s="36">
        <v>4.03</v>
      </c>
      <c r="D7" s="36">
        <v>3.76</v>
      </c>
      <c r="E7" s="36">
        <v>3.43</v>
      </c>
      <c r="F7" s="36">
        <v>3.12</v>
      </c>
      <c r="G7" s="36">
        <v>3.06</v>
      </c>
      <c r="H7" s="36">
        <v>3.26</v>
      </c>
      <c r="I7" s="36">
        <v>2.82</v>
      </c>
      <c r="J7" s="36">
        <v>3.02</v>
      </c>
      <c r="K7" s="36">
        <v>2.0499999999999998</v>
      </c>
      <c r="L7" s="36">
        <v>1.7</v>
      </c>
      <c r="M7" s="36">
        <v>1.66</v>
      </c>
      <c r="N7" s="36">
        <v>1.45</v>
      </c>
      <c r="O7" s="36">
        <v>1.54</v>
      </c>
      <c r="P7" s="36">
        <v>1.34</v>
      </c>
      <c r="Q7" s="36">
        <v>1.08</v>
      </c>
      <c r="R7" s="36">
        <v>1.2</v>
      </c>
      <c r="S7" s="36">
        <v>1.27</v>
      </c>
      <c r="T7" s="36">
        <v>1.4</v>
      </c>
      <c r="U7" s="36">
        <v>1.41</v>
      </c>
      <c r="V7" s="36">
        <v>1.1200000000000001</v>
      </c>
    </row>
    <row r="8" spans="1:22" x14ac:dyDescent="0.25">
      <c r="A8" s="54"/>
      <c r="B8" s="10" t="s">
        <v>50</v>
      </c>
      <c r="C8" s="36">
        <v>6.44</v>
      </c>
      <c r="D8" s="36">
        <v>6.4</v>
      </c>
      <c r="E8" s="36">
        <v>6.07</v>
      </c>
      <c r="F8" s="36">
        <v>6</v>
      </c>
      <c r="G8" s="36">
        <v>6.21</v>
      </c>
      <c r="H8" s="36">
        <v>6.95</v>
      </c>
      <c r="I8" s="36">
        <v>6.18</v>
      </c>
      <c r="J8" s="36">
        <v>6.82</v>
      </c>
      <c r="K8" s="36">
        <v>5.05</v>
      </c>
      <c r="L8" s="36">
        <v>4.3099999999999996</v>
      </c>
      <c r="M8" s="36">
        <v>4.4000000000000004</v>
      </c>
      <c r="N8" s="36">
        <v>4.24</v>
      </c>
      <c r="O8" s="36">
        <v>4.62</v>
      </c>
      <c r="P8" s="36">
        <v>4.33</v>
      </c>
      <c r="Q8" s="36">
        <v>3.91</v>
      </c>
      <c r="R8" s="36">
        <v>4.0999999999999996</v>
      </c>
      <c r="S8" s="36">
        <v>4.8899999999999997</v>
      </c>
      <c r="T8" s="36">
        <v>5.18</v>
      </c>
      <c r="U8" s="36">
        <v>5.0599999999999996</v>
      </c>
      <c r="V8" s="36">
        <v>4.4800000000000004</v>
      </c>
    </row>
    <row r="9" spans="1:22" x14ac:dyDescent="0.25">
      <c r="A9" s="47" t="s">
        <v>108</v>
      </c>
      <c r="B9" s="48" t="s">
        <v>50</v>
      </c>
      <c r="C9" s="49">
        <f>+C8*$B$32/C$32</f>
        <v>6.6802639232115801</v>
      </c>
      <c r="D9" s="49">
        <f t="shared" ref="D9:V9" si="0">+D8*$B$32/D$32</f>
        <v>6.8228881977416318</v>
      </c>
      <c r="E9" s="49">
        <f t="shared" si="0"/>
        <v>6.2172136882334579</v>
      </c>
      <c r="F9" s="49">
        <f t="shared" si="0"/>
        <v>6.238877992519777</v>
      </c>
      <c r="G9" s="49">
        <f t="shared" si="0"/>
        <v>6.1602714565339101</v>
      </c>
      <c r="H9" s="49">
        <f t="shared" si="0"/>
        <v>5.8450413714284526</v>
      </c>
      <c r="I9" s="49">
        <f t="shared" si="0"/>
        <v>6.5768770914510064</v>
      </c>
      <c r="J9" s="49">
        <f t="shared" si="0"/>
        <v>6.5671589312858032</v>
      </c>
      <c r="K9" s="49">
        <f t="shared" si="0"/>
        <v>4.9813455571371197</v>
      </c>
      <c r="L9" s="49">
        <f t="shared" si="0"/>
        <v>4.8776285565451998</v>
      </c>
      <c r="M9" s="49">
        <f t="shared" si="0"/>
        <v>4.7749763937767282</v>
      </c>
      <c r="N9" s="49">
        <f t="shared" si="0"/>
        <v>4.395976839821973</v>
      </c>
      <c r="O9" s="49">
        <f t="shared" si="0"/>
        <v>4.7487120178544631</v>
      </c>
      <c r="P9" s="49">
        <f t="shared" si="0"/>
        <v>4.4613996002565166</v>
      </c>
      <c r="Q9" s="49">
        <f t="shared" si="0"/>
        <v>4.0343864624651999</v>
      </c>
      <c r="R9" s="49">
        <f t="shared" si="0"/>
        <v>4.7183994769823769</v>
      </c>
      <c r="S9" s="49">
        <f t="shared" si="0"/>
        <v>4.9470814705064718</v>
      </c>
      <c r="T9" s="49">
        <f t="shared" si="0"/>
        <v>5.5999142377733193</v>
      </c>
      <c r="U9" s="49">
        <f t="shared" si="0"/>
        <v>5.0650815548680335</v>
      </c>
      <c r="V9" s="49">
        <f t="shared" si="0"/>
        <v>4.8694888891564281</v>
      </c>
    </row>
    <row r="10" spans="1:22" x14ac:dyDescent="0.25">
      <c r="A10" s="54" t="s">
        <v>51</v>
      </c>
      <c r="B10" s="2" t="s">
        <v>47</v>
      </c>
      <c r="C10" s="3">
        <v>0.03</v>
      </c>
      <c r="D10" s="3">
        <v>0.03</v>
      </c>
      <c r="E10" s="3">
        <v>0.04</v>
      </c>
      <c r="F10" s="3">
        <v>0.04</v>
      </c>
      <c r="G10" s="3">
        <v>0.03</v>
      </c>
      <c r="H10" s="3">
        <v>0.05</v>
      </c>
      <c r="I10" s="3">
        <v>0.04</v>
      </c>
      <c r="J10" s="3">
        <v>0.04</v>
      </c>
      <c r="K10" s="3">
        <v>0.03</v>
      </c>
      <c r="L10" s="3">
        <v>0.03</v>
      </c>
      <c r="M10" s="3">
        <v>0.02</v>
      </c>
      <c r="N10" s="3">
        <v>0.02</v>
      </c>
      <c r="O10" s="3">
        <v>0.02</v>
      </c>
      <c r="P10" s="3">
        <v>0.02</v>
      </c>
      <c r="Q10" s="3">
        <v>0.02</v>
      </c>
      <c r="R10" s="3">
        <v>0.02</v>
      </c>
      <c r="S10" s="3">
        <v>0.01</v>
      </c>
      <c r="T10" s="3">
        <v>0.02</v>
      </c>
      <c r="U10" s="3">
        <v>0.02</v>
      </c>
      <c r="V10" s="36">
        <v>0.01</v>
      </c>
    </row>
    <row r="11" spans="1:22" x14ac:dyDescent="0.25">
      <c r="A11" s="52"/>
      <c r="B11" s="2" t="s">
        <v>48</v>
      </c>
      <c r="C11" s="3">
        <v>1.64</v>
      </c>
      <c r="D11" s="3">
        <v>1.83</v>
      </c>
      <c r="E11" s="3">
        <v>1.8</v>
      </c>
      <c r="F11" s="3">
        <v>1.95</v>
      </c>
      <c r="G11" s="3">
        <v>2.19</v>
      </c>
      <c r="H11" s="3">
        <v>2.5299999999999998</v>
      </c>
      <c r="I11" s="3">
        <v>2.34</v>
      </c>
      <c r="J11" s="3">
        <v>2.65</v>
      </c>
      <c r="K11" s="3">
        <v>2.09</v>
      </c>
      <c r="L11" s="3">
        <v>1.8</v>
      </c>
      <c r="M11" s="3">
        <v>1.95</v>
      </c>
      <c r="N11" s="3">
        <v>1.97</v>
      </c>
      <c r="O11" s="3">
        <v>2.2000000000000002</v>
      </c>
      <c r="P11" s="3">
        <v>2.14</v>
      </c>
      <c r="Q11" s="3">
        <v>2.04</v>
      </c>
      <c r="R11" s="3">
        <v>2.09</v>
      </c>
      <c r="S11" s="3">
        <v>2.65</v>
      </c>
      <c r="T11" s="3">
        <v>2.75</v>
      </c>
      <c r="U11" s="3">
        <v>2.64</v>
      </c>
      <c r="V11" s="36">
        <v>2.4500000000000002</v>
      </c>
    </row>
    <row r="12" spans="1:22" x14ac:dyDescent="0.25">
      <c r="A12" s="52"/>
      <c r="B12" s="2" t="s">
        <v>49</v>
      </c>
      <c r="C12" s="3">
        <v>2.02</v>
      </c>
      <c r="D12" s="3">
        <v>1.88</v>
      </c>
      <c r="E12" s="3">
        <v>1.71</v>
      </c>
      <c r="F12" s="3">
        <v>1.56</v>
      </c>
      <c r="G12" s="3">
        <v>1.53</v>
      </c>
      <c r="H12" s="3">
        <v>1.63</v>
      </c>
      <c r="I12" s="3">
        <v>1.41</v>
      </c>
      <c r="J12" s="3">
        <v>1.51</v>
      </c>
      <c r="K12" s="3">
        <v>1.02</v>
      </c>
      <c r="L12" s="3">
        <v>0.85</v>
      </c>
      <c r="M12" s="3">
        <v>0.83</v>
      </c>
      <c r="N12" s="3">
        <v>0.73</v>
      </c>
      <c r="O12" s="3">
        <v>0.77</v>
      </c>
      <c r="P12" s="3">
        <v>0.67</v>
      </c>
      <c r="Q12" s="3">
        <v>0.54</v>
      </c>
      <c r="R12" s="3">
        <v>0.6</v>
      </c>
      <c r="S12" s="3">
        <v>0.63</v>
      </c>
      <c r="T12" s="3">
        <v>0.7</v>
      </c>
      <c r="U12" s="3">
        <v>0.71</v>
      </c>
      <c r="V12" s="36">
        <v>0.56000000000000005</v>
      </c>
    </row>
    <row r="13" spans="1:22" x14ac:dyDescent="0.25">
      <c r="A13" s="53"/>
      <c r="B13" s="5" t="s">
        <v>50</v>
      </c>
      <c r="C13" s="7">
        <v>3.69</v>
      </c>
      <c r="D13" s="7">
        <v>3.74</v>
      </c>
      <c r="E13" s="7">
        <v>3.55</v>
      </c>
      <c r="F13" s="7">
        <v>3.55</v>
      </c>
      <c r="G13" s="7">
        <v>3.76</v>
      </c>
      <c r="H13" s="7">
        <v>4.21</v>
      </c>
      <c r="I13" s="7">
        <v>3.79</v>
      </c>
      <c r="J13" s="7">
        <v>4.2</v>
      </c>
      <c r="K13" s="7">
        <v>3.15</v>
      </c>
      <c r="L13" s="7">
        <v>2.68</v>
      </c>
      <c r="M13" s="7">
        <v>2.8</v>
      </c>
      <c r="N13" s="7">
        <v>2.72</v>
      </c>
      <c r="O13" s="7">
        <v>2.99</v>
      </c>
      <c r="P13" s="7">
        <v>2.83</v>
      </c>
      <c r="Q13" s="7">
        <v>2.6</v>
      </c>
      <c r="R13" s="7">
        <v>2.71</v>
      </c>
      <c r="S13" s="7">
        <v>3.29</v>
      </c>
      <c r="T13" s="7">
        <v>3.47</v>
      </c>
      <c r="U13" s="7">
        <v>3.37</v>
      </c>
      <c r="V13" s="6">
        <v>3.02</v>
      </c>
    </row>
    <row r="14" spans="1:22" x14ac:dyDescent="0.25">
      <c r="A14" s="55" t="s">
        <v>52</v>
      </c>
      <c r="B14" s="2" t="s">
        <v>47</v>
      </c>
      <c r="C14" s="4">
        <v>47.7</v>
      </c>
      <c r="D14" s="4">
        <v>43.3</v>
      </c>
      <c r="E14" s="4">
        <v>52.1</v>
      </c>
      <c r="F14" s="4">
        <v>60.5</v>
      </c>
      <c r="G14" s="4">
        <v>48.2</v>
      </c>
      <c r="H14" s="4">
        <v>66.5</v>
      </c>
      <c r="I14" s="4">
        <v>50.2</v>
      </c>
      <c r="J14" s="4">
        <v>55.8</v>
      </c>
      <c r="K14" s="4">
        <v>44.6</v>
      </c>
      <c r="L14" s="4">
        <v>45.2</v>
      </c>
      <c r="M14" s="4">
        <v>27.8</v>
      </c>
      <c r="N14" s="4">
        <v>33.9</v>
      </c>
      <c r="O14" s="4">
        <v>31</v>
      </c>
      <c r="P14" s="4">
        <v>29.5</v>
      </c>
      <c r="Q14" s="4">
        <v>22.5</v>
      </c>
      <c r="R14" s="4">
        <v>23.4</v>
      </c>
      <c r="S14" s="4">
        <v>20.8</v>
      </c>
      <c r="T14" s="4">
        <v>23.7</v>
      </c>
      <c r="U14" s="4">
        <v>26.9</v>
      </c>
      <c r="V14" s="36">
        <v>21.3</v>
      </c>
    </row>
    <row r="15" spans="1:22" x14ac:dyDescent="0.25">
      <c r="A15" s="56"/>
      <c r="B15" s="2" t="s">
        <v>48</v>
      </c>
      <c r="C15" s="4">
        <v>467.9</v>
      </c>
      <c r="D15" s="4">
        <v>522.20000000000005</v>
      </c>
      <c r="E15" s="4">
        <v>514.4</v>
      </c>
      <c r="F15" s="4">
        <v>555.6</v>
      </c>
      <c r="G15" s="4">
        <v>625.9</v>
      </c>
      <c r="H15" s="4">
        <v>723</v>
      </c>
      <c r="I15" s="4">
        <v>669.1</v>
      </c>
      <c r="J15" s="4">
        <v>757.6</v>
      </c>
      <c r="K15" s="4">
        <v>598.1</v>
      </c>
      <c r="L15" s="4">
        <v>514.5</v>
      </c>
      <c r="M15" s="4">
        <v>557.9</v>
      </c>
      <c r="N15" s="4">
        <v>562.4</v>
      </c>
      <c r="O15" s="4">
        <v>628.79999999999995</v>
      </c>
      <c r="P15" s="4">
        <v>610.6</v>
      </c>
      <c r="Q15" s="4">
        <v>582.70000000000005</v>
      </c>
      <c r="R15" s="4">
        <v>596.1</v>
      </c>
      <c r="S15" s="4">
        <v>755.5</v>
      </c>
      <c r="T15" s="4">
        <v>784.1</v>
      </c>
      <c r="U15" s="4">
        <v>753.9</v>
      </c>
      <c r="V15" s="36">
        <v>758</v>
      </c>
    </row>
    <row r="16" spans="1:22" x14ac:dyDescent="0.25">
      <c r="A16" s="56"/>
      <c r="B16" s="2" t="s">
        <v>49</v>
      </c>
      <c r="C16" s="4">
        <v>863.6</v>
      </c>
      <c r="D16" s="4">
        <v>805.8</v>
      </c>
      <c r="E16" s="4">
        <v>734.2</v>
      </c>
      <c r="F16" s="4">
        <v>668.3</v>
      </c>
      <c r="G16" s="4">
        <v>654.79999999999995</v>
      </c>
      <c r="H16" s="4">
        <v>698.4</v>
      </c>
      <c r="I16" s="4">
        <v>604.4</v>
      </c>
      <c r="J16" s="4">
        <v>647.4</v>
      </c>
      <c r="K16" s="4">
        <v>438.3</v>
      </c>
      <c r="L16" s="4">
        <v>363.2</v>
      </c>
      <c r="M16" s="4">
        <v>355.4</v>
      </c>
      <c r="N16" s="4">
        <v>311.10000000000002</v>
      </c>
      <c r="O16" s="4">
        <v>329.4</v>
      </c>
      <c r="P16" s="4">
        <v>287.5</v>
      </c>
      <c r="Q16" s="4">
        <v>231.3</v>
      </c>
      <c r="R16" s="4">
        <v>257.8</v>
      </c>
      <c r="S16" s="4">
        <v>270.89999999999998</v>
      </c>
      <c r="T16" s="4">
        <v>300.60000000000002</v>
      </c>
      <c r="U16" s="4">
        <v>302.89999999999998</v>
      </c>
      <c r="V16" s="36">
        <v>261.39999999999998</v>
      </c>
    </row>
    <row r="17" spans="1:23" x14ac:dyDescent="0.25">
      <c r="A17" s="57"/>
      <c r="B17" s="5" t="s">
        <v>50</v>
      </c>
      <c r="C17" s="8">
        <v>1379.1</v>
      </c>
      <c r="D17" s="8">
        <v>1371.3</v>
      </c>
      <c r="E17" s="8">
        <v>1300.5999999999999</v>
      </c>
      <c r="F17" s="8">
        <v>1284.3</v>
      </c>
      <c r="G17" s="8">
        <v>1328.8</v>
      </c>
      <c r="H17" s="8">
        <v>1487.9</v>
      </c>
      <c r="I17" s="8">
        <v>1323.6</v>
      </c>
      <c r="J17" s="8">
        <v>1460.7</v>
      </c>
      <c r="K17" s="8">
        <v>1081</v>
      </c>
      <c r="L17" s="8">
        <v>922.9</v>
      </c>
      <c r="M17" s="8">
        <v>941.1</v>
      </c>
      <c r="N17" s="8">
        <v>907.4</v>
      </c>
      <c r="O17" s="8">
        <v>989.2</v>
      </c>
      <c r="P17" s="8">
        <v>927.6</v>
      </c>
      <c r="Q17" s="8">
        <v>836.5</v>
      </c>
      <c r="R17" s="8">
        <v>877.2</v>
      </c>
      <c r="S17" s="8">
        <v>1047.3</v>
      </c>
      <c r="T17" s="8">
        <v>1108.4000000000001</v>
      </c>
      <c r="U17" s="8">
        <v>1083.5999999999999</v>
      </c>
      <c r="V17" s="6">
        <v>1040.7</v>
      </c>
    </row>
    <row r="18" spans="1:23" x14ac:dyDescent="0.25">
      <c r="A18" s="51" t="s">
        <v>53</v>
      </c>
      <c r="B18" s="2" t="s">
        <v>47</v>
      </c>
      <c r="C18" s="4">
        <v>117.2</v>
      </c>
      <c r="D18" s="4">
        <v>106.4</v>
      </c>
      <c r="E18" s="4">
        <v>125.6</v>
      </c>
      <c r="F18" s="4">
        <v>128.6</v>
      </c>
      <c r="G18" s="4">
        <v>103.4</v>
      </c>
      <c r="H18" s="4">
        <v>120.5</v>
      </c>
      <c r="I18" s="4">
        <v>115.7</v>
      </c>
      <c r="J18" s="20">
        <f>+AVERAGE(I18,K18)</f>
        <v>108.80000000000001</v>
      </c>
      <c r="K18" s="4">
        <v>101.9</v>
      </c>
      <c r="L18" s="4">
        <v>108.6</v>
      </c>
      <c r="M18" s="4">
        <v>78</v>
      </c>
      <c r="N18" s="4">
        <v>90.8</v>
      </c>
      <c r="O18" s="4">
        <v>80</v>
      </c>
      <c r="P18" s="4">
        <v>74.5</v>
      </c>
      <c r="Q18" s="4">
        <v>59</v>
      </c>
      <c r="R18" s="4">
        <v>63.9</v>
      </c>
      <c r="S18" s="4">
        <v>53.7</v>
      </c>
      <c r="T18" s="4">
        <v>65.7</v>
      </c>
      <c r="U18" s="4">
        <v>55.2</v>
      </c>
      <c r="V18" s="4">
        <v>50.5</v>
      </c>
    </row>
    <row r="19" spans="1:23" x14ac:dyDescent="0.25">
      <c r="A19" s="52"/>
      <c r="B19" s="2" t="s">
        <v>48</v>
      </c>
      <c r="C19" s="4">
        <v>395.2</v>
      </c>
      <c r="D19" s="4">
        <v>448.8</v>
      </c>
      <c r="E19" s="4">
        <v>464</v>
      </c>
      <c r="F19" s="4">
        <v>502.7</v>
      </c>
      <c r="G19" s="4">
        <v>555.6</v>
      </c>
      <c r="H19" s="4">
        <v>600.20000000000005</v>
      </c>
      <c r="I19" s="4">
        <v>630.20000000000005</v>
      </c>
      <c r="J19" s="21">
        <f t="shared" ref="J19:J23" si="1">+AVERAGE(I19,K19)</f>
        <v>645.79999999999995</v>
      </c>
      <c r="K19" s="4">
        <v>661.4</v>
      </c>
      <c r="L19" s="4">
        <v>668.9</v>
      </c>
      <c r="M19" s="4">
        <v>708.7</v>
      </c>
      <c r="N19" s="4">
        <v>731.9</v>
      </c>
      <c r="O19" s="4">
        <v>796.1</v>
      </c>
      <c r="P19" s="4">
        <v>760</v>
      </c>
      <c r="Q19" s="4">
        <v>760.4</v>
      </c>
      <c r="R19" s="4">
        <v>782</v>
      </c>
      <c r="S19" s="4">
        <v>885.2</v>
      </c>
      <c r="T19" s="4">
        <v>870.8</v>
      </c>
      <c r="U19" s="4">
        <v>884.5</v>
      </c>
      <c r="V19" s="4">
        <v>935.4</v>
      </c>
    </row>
    <row r="20" spans="1:23" x14ac:dyDescent="0.25">
      <c r="A20" s="52"/>
      <c r="B20" s="2" t="s">
        <v>49</v>
      </c>
      <c r="C20" s="4">
        <v>705.2</v>
      </c>
      <c r="D20" s="4">
        <v>688.5</v>
      </c>
      <c r="E20" s="4">
        <v>650.6</v>
      </c>
      <c r="F20" s="4">
        <v>625.4</v>
      </c>
      <c r="G20" s="4">
        <v>599.1</v>
      </c>
      <c r="H20" s="4">
        <v>572.70000000000005</v>
      </c>
      <c r="I20" s="4">
        <v>592.79999999999995</v>
      </c>
      <c r="J20" s="21">
        <f t="shared" si="1"/>
        <v>547.04999999999995</v>
      </c>
      <c r="K20" s="4">
        <v>501.3</v>
      </c>
      <c r="L20" s="4">
        <v>455.1</v>
      </c>
      <c r="M20" s="4">
        <v>411.1</v>
      </c>
      <c r="N20" s="4">
        <v>406.2</v>
      </c>
      <c r="O20" s="4">
        <v>399.7</v>
      </c>
      <c r="P20" s="4">
        <v>359.4</v>
      </c>
      <c r="Q20" s="4">
        <v>316.3</v>
      </c>
      <c r="R20" s="4">
        <v>335.3</v>
      </c>
      <c r="S20" s="4">
        <v>332.3</v>
      </c>
      <c r="T20" s="4">
        <v>339.2</v>
      </c>
      <c r="U20" s="4">
        <v>329.7</v>
      </c>
      <c r="V20" s="4">
        <v>330.9</v>
      </c>
    </row>
    <row r="21" spans="1:23" x14ac:dyDescent="0.25">
      <c r="A21" s="52"/>
      <c r="B21" s="10" t="s">
        <v>50</v>
      </c>
      <c r="C21" s="12">
        <v>1217.5999999999999</v>
      </c>
      <c r="D21" s="12">
        <v>1243.7</v>
      </c>
      <c r="E21" s="12">
        <v>1240.2</v>
      </c>
      <c r="F21" s="12">
        <v>1256.7</v>
      </c>
      <c r="G21" s="12">
        <v>1258.0999999999999</v>
      </c>
      <c r="H21" s="12">
        <v>1293.4000000000001</v>
      </c>
      <c r="I21" s="12">
        <v>1338.7</v>
      </c>
      <c r="J21" s="22">
        <f t="shared" si="1"/>
        <v>1301.5999999999999</v>
      </c>
      <c r="K21" s="12">
        <v>1264.5</v>
      </c>
      <c r="L21" s="12">
        <v>1232.5</v>
      </c>
      <c r="M21" s="12">
        <v>1197.8</v>
      </c>
      <c r="N21" s="12">
        <v>1228.9000000000001</v>
      </c>
      <c r="O21" s="12">
        <v>1275.8</v>
      </c>
      <c r="P21" s="12">
        <v>1193.9000000000001</v>
      </c>
      <c r="Q21" s="12">
        <v>1135.7</v>
      </c>
      <c r="R21" s="12">
        <v>1181.2</v>
      </c>
      <c r="S21" s="12">
        <v>1271.3</v>
      </c>
      <c r="T21" s="12">
        <v>1275.7</v>
      </c>
      <c r="U21" s="12">
        <v>1269.4000000000001</v>
      </c>
      <c r="V21" s="4">
        <v>1316.8</v>
      </c>
    </row>
    <row r="22" spans="1:23" x14ac:dyDescent="0.25">
      <c r="A22" s="52"/>
      <c r="B22" s="10"/>
      <c r="C22" s="12">
        <f>+AVERAGE($C$21:$V$21)</f>
        <v>1249.675</v>
      </c>
      <c r="D22" s="12">
        <f t="shared" ref="D22:V22" si="2">+AVERAGE($C$21:$V$21)</f>
        <v>1249.675</v>
      </c>
      <c r="E22" s="12">
        <f t="shared" si="2"/>
        <v>1249.675</v>
      </c>
      <c r="F22" s="12">
        <f t="shared" si="2"/>
        <v>1249.675</v>
      </c>
      <c r="G22" s="12">
        <f t="shared" si="2"/>
        <v>1249.675</v>
      </c>
      <c r="H22" s="12">
        <f t="shared" si="2"/>
        <v>1249.675</v>
      </c>
      <c r="I22" s="12">
        <f t="shared" si="2"/>
        <v>1249.675</v>
      </c>
      <c r="J22" s="12">
        <f t="shared" si="2"/>
        <v>1249.675</v>
      </c>
      <c r="K22" s="12">
        <f t="shared" si="2"/>
        <v>1249.675</v>
      </c>
      <c r="L22" s="12">
        <f t="shared" si="2"/>
        <v>1249.675</v>
      </c>
      <c r="M22" s="12">
        <f t="shared" si="2"/>
        <v>1249.675</v>
      </c>
      <c r="N22" s="12">
        <f t="shared" si="2"/>
        <v>1249.675</v>
      </c>
      <c r="O22" s="12">
        <f t="shared" si="2"/>
        <v>1249.675</v>
      </c>
      <c r="P22" s="12">
        <f t="shared" si="2"/>
        <v>1249.675</v>
      </c>
      <c r="Q22" s="12">
        <f t="shared" si="2"/>
        <v>1249.675</v>
      </c>
      <c r="R22" s="12">
        <f t="shared" si="2"/>
        <v>1249.675</v>
      </c>
      <c r="S22" s="12">
        <f t="shared" si="2"/>
        <v>1249.675</v>
      </c>
      <c r="T22" s="12">
        <f t="shared" si="2"/>
        <v>1249.675</v>
      </c>
      <c r="U22" s="12">
        <f t="shared" si="2"/>
        <v>1249.675</v>
      </c>
      <c r="V22" s="12">
        <f t="shared" si="2"/>
        <v>1249.675</v>
      </c>
    </row>
    <row r="23" spans="1:23" x14ac:dyDescent="0.25">
      <c r="A23" s="53"/>
      <c r="B23" s="5" t="s">
        <v>54</v>
      </c>
      <c r="C23" s="6"/>
      <c r="D23" s="13">
        <f>+D21*1000/D49</f>
        <v>0.56154815172681583</v>
      </c>
      <c r="E23" s="13">
        <f t="shared" ref="E23:I23" si="3">+E21*1000/E49</f>
        <v>0.55300624127427767</v>
      </c>
      <c r="F23" s="13">
        <f t="shared" si="3"/>
        <v>0.55255056143217307</v>
      </c>
      <c r="G23" s="13">
        <f t="shared" si="3"/>
        <v>0.54682430297395745</v>
      </c>
      <c r="H23" s="13">
        <f t="shared" si="3"/>
        <v>0.55655840872661555</v>
      </c>
      <c r="I23" s="13">
        <f t="shared" si="3"/>
        <v>0.57135906376840051</v>
      </c>
      <c r="J23" s="23">
        <f t="shared" si="1"/>
        <v>0.54919674584142231</v>
      </c>
      <c r="K23" s="13">
        <f t="shared" ref="K23:U23" si="4">+K21*1000/K49</f>
        <v>0.5270344279144441</v>
      </c>
      <c r="L23" s="13">
        <f t="shared" si="4"/>
        <v>0.50787735287318481</v>
      </c>
      <c r="M23" s="13">
        <f t="shared" si="4"/>
        <v>0.48764322331437804</v>
      </c>
      <c r="N23" s="13">
        <f t="shared" si="4"/>
        <v>0.49445692422766502</v>
      </c>
      <c r="O23" s="13">
        <f t="shared" si="4"/>
        <v>0.5071575682673124</v>
      </c>
      <c r="P23" s="13">
        <f t="shared" si="4"/>
        <v>0.4686128682294684</v>
      </c>
      <c r="Q23" s="13">
        <f t="shared" si="4"/>
        <v>0.43999682312763083</v>
      </c>
      <c r="R23" s="13">
        <f t="shared" si="4"/>
        <v>0.45256011402124108</v>
      </c>
      <c r="S23" s="13">
        <f t="shared" si="4"/>
        <v>0.48194771627370597</v>
      </c>
      <c r="T23" s="13">
        <f t="shared" si="4"/>
        <v>0.47841614516669184</v>
      </c>
      <c r="U23" s="13">
        <f t="shared" si="4"/>
        <v>0.47114260804564895</v>
      </c>
      <c r="V23" s="13">
        <f>+V21*1000/V49</f>
        <v>0.48396071567969506</v>
      </c>
    </row>
    <row r="24" spans="1:23" x14ac:dyDescent="0.25">
      <c r="A24" s="51" t="s">
        <v>55</v>
      </c>
      <c r="B24" s="2" t="s">
        <v>47</v>
      </c>
      <c r="C24" s="14">
        <f t="shared" ref="C24:I26" si="5">+C5*1000000/C18</f>
        <v>1877.1331058020478</v>
      </c>
      <c r="D24" s="14">
        <f t="shared" si="5"/>
        <v>1879.6992481203006</v>
      </c>
      <c r="E24" s="14">
        <f t="shared" si="5"/>
        <v>1910.8280254777071</v>
      </c>
      <c r="F24" s="14">
        <f t="shared" si="5"/>
        <v>2177.2939346811822</v>
      </c>
      <c r="G24" s="14">
        <f t="shared" si="5"/>
        <v>2224.3713733075433</v>
      </c>
      <c r="H24" s="14">
        <f t="shared" si="5"/>
        <v>2572.6141078838173</v>
      </c>
      <c r="I24" s="14">
        <f t="shared" si="5"/>
        <v>1987.8997407087295</v>
      </c>
      <c r="J24" s="14"/>
      <c r="K24" s="14">
        <f t="shared" ref="K24:V24" si="6">+K5*1000000/K18</f>
        <v>2060.8439646712463</v>
      </c>
      <c r="L24" s="14">
        <f t="shared" si="6"/>
        <v>1933.7016574585637</v>
      </c>
      <c r="M24" s="14">
        <f t="shared" si="6"/>
        <v>1666.6666666666667</v>
      </c>
      <c r="N24" s="14">
        <f t="shared" si="6"/>
        <v>1762.1145374449341</v>
      </c>
      <c r="O24" s="14">
        <f t="shared" si="6"/>
        <v>1750</v>
      </c>
      <c r="P24" s="14">
        <f t="shared" si="6"/>
        <v>1879.1946308724832</v>
      </c>
      <c r="Q24" s="14">
        <f t="shared" si="6"/>
        <v>1864.406779661017</v>
      </c>
      <c r="R24" s="14">
        <f t="shared" si="6"/>
        <v>1721.4397496087638</v>
      </c>
      <c r="S24" s="14">
        <f t="shared" si="6"/>
        <v>1862.1973929236499</v>
      </c>
      <c r="T24" s="14">
        <f t="shared" si="6"/>
        <v>1674.27701674277</v>
      </c>
      <c r="U24" s="14">
        <f t="shared" si="6"/>
        <v>2355.072463768116</v>
      </c>
      <c r="V24" s="14">
        <f t="shared" si="6"/>
        <v>1782.1782178217823</v>
      </c>
    </row>
    <row r="25" spans="1:23" x14ac:dyDescent="0.25">
      <c r="A25" s="52"/>
      <c r="B25" s="2" t="s">
        <v>48</v>
      </c>
      <c r="C25" s="14">
        <f t="shared" si="5"/>
        <v>5541.4979757085021</v>
      </c>
      <c r="D25" s="14">
        <f t="shared" si="5"/>
        <v>5436.7201426024958</v>
      </c>
      <c r="E25" s="14">
        <f t="shared" si="5"/>
        <v>5172.4137931034484</v>
      </c>
      <c r="F25" s="14">
        <f t="shared" si="5"/>
        <v>5152.1782375174062</v>
      </c>
      <c r="G25" s="14">
        <f t="shared" si="5"/>
        <v>5255.5795536357091</v>
      </c>
      <c r="H25" s="14">
        <f t="shared" si="5"/>
        <v>5631.4561812729089</v>
      </c>
      <c r="I25" s="14">
        <f t="shared" si="5"/>
        <v>4950.8092668993968</v>
      </c>
      <c r="J25" s="14"/>
      <c r="K25" s="14">
        <f t="shared" ref="K25:V25" si="7">+K6*1000000/K19</f>
        <v>4218.3247656486246</v>
      </c>
      <c r="L25" s="14">
        <f t="shared" si="7"/>
        <v>3587.9802661085364</v>
      </c>
      <c r="M25" s="14">
        <f t="shared" si="7"/>
        <v>3682.799492027656</v>
      </c>
      <c r="N25" s="14">
        <f t="shared" si="7"/>
        <v>3593.3870747369861</v>
      </c>
      <c r="O25" s="14">
        <f t="shared" si="7"/>
        <v>3693.0033915337267</v>
      </c>
      <c r="P25" s="14">
        <f t="shared" si="7"/>
        <v>3750</v>
      </c>
      <c r="Q25" s="14">
        <f t="shared" si="7"/>
        <v>3577.0647027880063</v>
      </c>
      <c r="R25" s="14">
        <f t="shared" si="7"/>
        <v>3554.9872122762149</v>
      </c>
      <c r="S25" s="14">
        <f t="shared" si="7"/>
        <v>3987.7993673746046</v>
      </c>
      <c r="T25" s="14">
        <f t="shared" si="7"/>
        <v>4203.0316949931102</v>
      </c>
      <c r="U25" s="14">
        <f t="shared" si="7"/>
        <v>3979.6495195025436</v>
      </c>
      <c r="V25" s="14">
        <f t="shared" si="7"/>
        <v>3485.1400470387002</v>
      </c>
    </row>
    <row r="26" spans="1:23" x14ac:dyDescent="0.25">
      <c r="A26" s="52"/>
      <c r="B26" s="2" t="s">
        <v>49</v>
      </c>
      <c r="C26" s="14">
        <f t="shared" si="5"/>
        <v>5714.6908678389109</v>
      </c>
      <c r="D26" s="14">
        <f t="shared" si="5"/>
        <v>5461.1474219317361</v>
      </c>
      <c r="E26" s="14">
        <f t="shared" si="5"/>
        <v>5272.0565631724558</v>
      </c>
      <c r="F26" s="14">
        <f t="shared" si="5"/>
        <v>4988.8071634154139</v>
      </c>
      <c r="G26" s="14">
        <f t="shared" si="5"/>
        <v>5107.6614922383569</v>
      </c>
      <c r="H26" s="14">
        <f t="shared" si="5"/>
        <v>5692.3345556137592</v>
      </c>
      <c r="I26" s="14">
        <f t="shared" si="5"/>
        <v>4757.0850202429156</v>
      </c>
      <c r="J26" s="14"/>
      <c r="K26" s="14">
        <f t="shared" ref="K26:V26" si="8">+K7*1000000/K20</f>
        <v>4089.3676441252737</v>
      </c>
      <c r="L26" s="14">
        <f t="shared" si="8"/>
        <v>3735.4427598330035</v>
      </c>
      <c r="M26" s="14">
        <f t="shared" si="8"/>
        <v>4037.9469715397713</v>
      </c>
      <c r="N26" s="14">
        <f t="shared" si="8"/>
        <v>3569.670113244707</v>
      </c>
      <c r="O26" s="14">
        <f t="shared" si="8"/>
        <v>3852.8896672504379</v>
      </c>
      <c r="P26" s="14">
        <f t="shared" si="8"/>
        <v>3728.436282693378</v>
      </c>
      <c r="Q26" s="14">
        <f t="shared" si="8"/>
        <v>3414.4799241226683</v>
      </c>
      <c r="R26" s="14">
        <f t="shared" si="8"/>
        <v>3578.8845809722634</v>
      </c>
      <c r="S26" s="14">
        <f t="shared" si="8"/>
        <v>3821.8477279566655</v>
      </c>
      <c r="T26" s="14">
        <f t="shared" si="8"/>
        <v>4127.3584905660382</v>
      </c>
      <c r="U26" s="14">
        <f t="shared" si="8"/>
        <v>4276.6151046405821</v>
      </c>
      <c r="V26" s="14">
        <f t="shared" si="8"/>
        <v>3384.7083711090968</v>
      </c>
    </row>
    <row r="27" spans="1:23" x14ac:dyDescent="0.25">
      <c r="A27" s="53"/>
      <c r="B27" s="5" t="s">
        <v>50</v>
      </c>
      <c r="C27" s="15">
        <f t="shared" ref="C27:I27" si="9">+C8*1000000/C21</f>
        <v>5289.093298291722</v>
      </c>
      <c r="D27" s="15">
        <f t="shared" si="9"/>
        <v>5145.9355149955773</v>
      </c>
      <c r="E27" s="15">
        <f t="shared" si="9"/>
        <v>4894.3718755039508</v>
      </c>
      <c r="F27" s="15">
        <f t="shared" si="9"/>
        <v>4774.4091668656001</v>
      </c>
      <c r="G27" s="15">
        <f t="shared" si="9"/>
        <v>4936.0146252285194</v>
      </c>
      <c r="H27" s="15">
        <f t="shared" si="9"/>
        <v>5373.4343590536564</v>
      </c>
      <c r="I27" s="15">
        <f t="shared" si="9"/>
        <v>4616.4189138716665</v>
      </c>
      <c r="J27" s="15"/>
      <c r="K27" s="15">
        <f t="shared" ref="K27:V27" si="10">+K8*1000000/K21</f>
        <v>3993.6733886911825</v>
      </c>
      <c r="L27" s="15">
        <f t="shared" si="10"/>
        <v>3496.9574036511158</v>
      </c>
      <c r="M27" s="15">
        <f t="shared" si="10"/>
        <v>3673.4012355985974</v>
      </c>
      <c r="N27" s="15">
        <f t="shared" si="10"/>
        <v>3450.2400520790948</v>
      </c>
      <c r="O27" s="15">
        <f t="shared" si="10"/>
        <v>3621.2572503527199</v>
      </c>
      <c r="P27" s="15">
        <f t="shared" si="10"/>
        <v>3626.769411173465</v>
      </c>
      <c r="Q27" s="15">
        <f t="shared" si="10"/>
        <v>3442.8106013912125</v>
      </c>
      <c r="R27" s="15">
        <f t="shared" si="10"/>
        <v>3471.0463934981371</v>
      </c>
      <c r="S27" s="15">
        <f t="shared" si="10"/>
        <v>3846.4563832297649</v>
      </c>
      <c r="T27" s="15">
        <f t="shared" si="10"/>
        <v>4060.5157952496666</v>
      </c>
      <c r="U27" s="15">
        <f t="shared" si="10"/>
        <v>3986.1351819757365</v>
      </c>
      <c r="V27" s="15">
        <f t="shared" si="10"/>
        <v>3402.1871202916163</v>
      </c>
    </row>
    <row r="28" spans="1:23" x14ac:dyDescent="0.25">
      <c r="A28" s="51" t="s">
        <v>56</v>
      </c>
      <c r="B28" s="2" t="s">
        <v>47</v>
      </c>
      <c r="C28" s="14">
        <f t="shared" ref="C28:I31" si="11">+C10*1000000/C18</f>
        <v>255.97269624573377</v>
      </c>
      <c r="D28" s="14">
        <f t="shared" si="11"/>
        <v>281.95488721804509</v>
      </c>
      <c r="E28" s="14">
        <f t="shared" si="11"/>
        <v>318.47133757961785</v>
      </c>
      <c r="F28" s="14">
        <f t="shared" si="11"/>
        <v>311.04199066874031</v>
      </c>
      <c r="G28" s="14">
        <f t="shared" si="11"/>
        <v>290.13539651837522</v>
      </c>
      <c r="H28" s="14">
        <f t="shared" si="11"/>
        <v>414.93775933609959</v>
      </c>
      <c r="I28" s="14">
        <f t="shared" si="11"/>
        <v>345.72169403630079</v>
      </c>
      <c r="J28" s="14"/>
      <c r="K28" s="14">
        <f t="shared" ref="K28:V28" si="12">+K10*1000000/K18</f>
        <v>294.40628066732091</v>
      </c>
      <c r="L28" s="14">
        <f t="shared" si="12"/>
        <v>276.24309392265195</v>
      </c>
      <c r="M28" s="14">
        <f t="shared" si="12"/>
        <v>256.41025641025641</v>
      </c>
      <c r="N28" s="14">
        <f t="shared" si="12"/>
        <v>220.26431718061676</v>
      </c>
      <c r="O28" s="14">
        <f t="shared" si="12"/>
        <v>250</v>
      </c>
      <c r="P28" s="14">
        <f t="shared" si="12"/>
        <v>268.45637583892619</v>
      </c>
      <c r="Q28" s="14">
        <f t="shared" si="12"/>
        <v>338.9830508474576</v>
      </c>
      <c r="R28" s="14">
        <f t="shared" si="12"/>
        <v>312.98904538341156</v>
      </c>
      <c r="S28" s="14">
        <f t="shared" si="12"/>
        <v>186.21973929236498</v>
      </c>
      <c r="T28" s="14">
        <f t="shared" si="12"/>
        <v>304.41400304414003</v>
      </c>
      <c r="U28" s="14">
        <f t="shared" si="12"/>
        <v>362.31884057971013</v>
      </c>
      <c r="V28" s="14">
        <f t="shared" si="12"/>
        <v>198.01980198019803</v>
      </c>
    </row>
    <row r="29" spans="1:23" x14ac:dyDescent="0.25">
      <c r="A29" s="52"/>
      <c r="B29" s="2" t="s">
        <v>48</v>
      </c>
      <c r="C29" s="14">
        <f t="shared" si="11"/>
        <v>4149.7975708502026</v>
      </c>
      <c r="D29" s="14">
        <f t="shared" si="11"/>
        <v>4077.5401069518716</v>
      </c>
      <c r="E29" s="14">
        <f t="shared" si="11"/>
        <v>3879.3103448275861</v>
      </c>
      <c r="F29" s="14">
        <f t="shared" si="11"/>
        <v>3879.0531131887806</v>
      </c>
      <c r="G29" s="14">
        <f t="shared" si="11"/>
        <v>3941.6846652267818</v>
      </c>
      <c r="H29" s="14">
        <f t="shared" si="11"/>
        <v>4215.2615794735084</v>
      </c>
      <c r="I29" s="14">
        <f t="shared" si="11"/>
        <v>3713.1069501745474</v>
      </c>
      <c r="J29" s="14"/>
      <c r="K29" s="14">
        <f t="shared" ref="K29:V29" si="13">+K11*1000000/K19</f>
        <v>3159.963713335349</v>
      </c>
      <c r="L29" s="14">
        <f t="shared" si="13"/>
        <v>2690.9851995814024</v>
      </c>
      <c r="M29" s="14">
        <f t="shared" si="13"/>
        <v>2751.5168618597431</v>
      </c>
      <c r="N29" s="14">
        <f t="shared" si="13"/>
        <v>2691.6245388714306</v>
      </c>
      <c r="O29" s="14">
        <f t="shared" si="13"/>
        <v>2763.4719256374829</v>
      </c>
      <c r="P29" s="14">
        <f t="shared" si="13"/>
        <v>2815.7894736842104</v>
      </c>
      <c r="Q29" s="14">
        <f t="shared" si="13"/>
        <v>2682.7985270910049</v>
      </c>
      <c r="R29" s="14">
        <f t="shared" si="13"/>
        <v>2672.6342710997437</v>
      </c>
      <c r="S29" s="14">
        <f t="shared" si="13"/>
        <v>2993.6737460460913</v>
      </c>
      <c r="T29" s="14">
        <f t="shared" si="13"/>
        <v>3158.0156178226921</v>
      </c>
      <c r="U29" s="14">
        <f t="shared" si="13"/>
        <v>2984.7371396269077</v>
      </c>
      <c r="V29" s="14">
        <f t="shared" si="13"/>
        <v>2619.2003420996366</v>
      </c>
    </row>
    <row r="30" spans="1:23" x14ac:dyDescent="0.25">
      <c r="A30" s="52"/>
      <c r="B30" s="2" t="s">
        <v>49</v>
      </c>
      <c r="C30" s="14">
        <f t="shared" si="11"/>
        <v>2864.4356211003969</v>
      </c>
      <c r="D30" s="14">
        <f t="shared" si="11"/>
        <v>2730.573710965868</v>
      </c>
      <c r="E30" s="14">
        <f t="shared" si="11"/>
        <v>2628.3430679372887</v>
      </c>
      <c r="F30" s="14">
        <f t="shared" si="11"/>
        <v>2494.403581707707</v>
      </c>
      <c r="G30" s="14">
        <f t="shared" si="11"/>
        <v>2553.8307461191785</v>
      </c>
      <c r="H30" s="14">
        <f t="shared" si="11"/>
        <v>2846.1672778068796</v>
      </c>
      <c r="I30" s="14">
        <f t="shared" si="11"/>
        <v>2378.5425101214578</v>
      </c>
      <c r="J30" s="14"/>
      <c r="K30" s="14">
        <f t="shared" ref="K30:V30" si="14">+K12*1000000/K20</f>
        <v>2034.7097546379414</v>
      </c>
      <c r="L30" s="14">
        <f t="shared" si="14"/>
        <v>1867.7213799165017</v>
      </c>
      <c r="M30" s="14">
        <f t="shared" si="14"/>
        <v>2018.9734857698857</v>
      </c>
      <c r="N30" s="14">
        <f t="shared" si="14"/>
        <v>1797.1442639094043</v>
      </c>
      <c r="O30" s="14">
        <f t="shared" si="14"/>
        <v>1926.444833625219</v>
      </c>
      <c r="P30" s="14">
        <f t="shared" si="14"/>
        <v>1864.218141346689</v>
      </c>
      <c r="Q30" s="14">
        <f t="shared" si="14"/>
        <v>1707.2399620613342</v>
      </c>
      <c r="R30" s="14">
        <f t="shared" si="14"/>
        <v>1789.4422904861317</v>
      </c>
      <c r="S30" s="14">
        <f t="shared" si="14"/>
        <v>1895.8772193800783</v>
      </c>
      <c r="T30" s="14">
        <f t="shared" si="14"/>
        <v>2063.6792452830191</v>
      </c>
      <c r="U30" s="14">
        <f t="shared" si="14"/>
        <v>2153.472854109797</v>
      </c>
      <c r="V30" s="14">
        <f t="shared" si="14"/>
        <v>1692.3541855545484</v>
      </c>
    </row>
    <row r="31" spans="1:23" x14ac:dyDescent="0.25">
      <c r="A31" s="53"/>
      <c r="B31" s="5" t="s">
        <v>50</v>
      </c>
      <c r="C31" s="15">
        <f t="shared" si="11"/>
        <v>3030.5519053876483</v>
      </c>
      <c r="D31" s="15">
        <f t="shared" si="11"/>
        <v>3007.1560665755405</v>
      </c>
      <c r="E31" s="15">
        <f t="shared" si="11"/>
        <v>2862.4415416868246</v>
      </c>
      <c r="F31" s="15">
        <f t="shared" si="11"/>
        <v>2824.8587570621467</v>
      </c>
      <c r="G31" s="15">
        <f t="shared" si="11"/>
        <v>2988.6336539225817</v>
      </c>
      <c r="H31" s="15">
        <f t="shared" si="11"/>
        <v>3254.9868563476107</v>
      </c>
      <c r="I31" s="15">
        <f t="shared" si="11"/>
        <v>2831.1048031672517</v>
      </c>
      <c r="J31" s="15"/>
      <c r="K31" s="15">
        <f t="shared" ref="K31:V31" si="15">+K13*1000000/K21</f>
        <v>2491.1032028469749</v>
      </c>
      <c r="L31" s="15">
        <f t="shared" si="15"/>
        <v>2174.442190669371</v>
      </c>
      <c r="M31" s="15">
        <f t="shared" si="15"/>
        <v>2337.6189681081983</v>
      </c>
      <c r="N31" s="15">
        <f t="shared" si="15"/>
        <v>2213.3615428431931</v>
      </c>
      <c r="O31" s="15">
        <f t="shared" si="15"/>
        <v>2343.627527825678</v>
      </c>
      <c r="P31" s="15">
        <f t="shared" si="15"/>
        <v>2370.3827791272297</v>
      </c>
      <c r="Q31" s="15">
        <f t="shared" si="15"/>
        <v>2289.3369727921104</v>
      </c>
      <c r="R31" s="15">
        <f t="shared" si="15"/>
        <v>2294.2770064341348</v>
      </c>
      <c r="S31" s="15">
        <f t="shared" si="15"/>
        <v>2587.9021474081651</v>
      </c>
      <c r="T31" s="15">
        <f t="shared" si="15"/>
        <v>2720.0752528023827</v>
      </c>
      <c r="U31" s="15">
        <f t="shared" si="15"/>
        <v>2654.7975421458955</v>
      </c>
      <c r="V31" s="15">
        <f t="shared" si="15"/>
        <v>2293.4386391251519</v>
      </c>
    </row>
    <row r="32" spans="1:23" x14ac:dyDescent="0.25">
      <c r="A32" s="37" t="s">
        <v>103</v>
      </c>
      <c r="B32" s="38">
        <v>3733.6371281813235</v>
      </c>
      <c r="C32" s="38">
        <v>3599.3522683948268</v>
      </c>
      <c r="D32" s="38">
        <v>3502.2232415107992</v>
      </c>
      <c r="E32" s="38">
        <v>3645.2305654142779</v>
      </c>
      <c r="F32" s="38">
        <v>3590.6813366036395</v>
      </c>
      <c r="G32" s="38">
        <v>3763.7767636706722</v>
      </c>
      <c r="H32" s="38">
        <v>4439.451561062031</v>
      </c>
      <c r="I32" s="38">
        <v>3508.333382442755</v>
      </c>
      <c r="J32" s="38">
        <v>3877.3852560335513</v>
      </c>
      <c r="K32" s="38">
        <v>3785.0952681451718</v>
      </c>
      <c r="L32" s="38">
        <v>3299.1392919553045</v>
      </c>
      <c r="M32" s="38">
        <v>3440.436561196113</v>
      </c>
      <c r="N32" s="38">
        <v>3601.1612436361056</v>
      </c>
      <c r="O32" s="38">
        <v>3632.4383258749904</v>
      </c>
      <c r="P32" s="38">
        <v>3623.6719894123803</v>
      </c>
      <c r="Q32" s="38">
        <v>3618.5232394093928</v>
      </c>
      <c r="R32" s="38">
        <v>3244.3018655413862</v>
      </c>
      <c r="S32" s="38">
        <v>3690.5568799815028</v>
      </c>
      <c r="T32" s="38">
        <v>3453.6672353877816</v>
      </c>
      <c r="U32" s="38">
        <v>3729.8913480357014</v>
      </c>
      <c r="V32" s="38">
        <v>3435</v>
      </c>
      <c r="W32" s="16"/>
    </row>
    <row r="33" spans="1:22" x14ac:dyDescent="0.25">
      <c r="A33" s="9" t="s">
        <v>157</v>
      </c>
      <c r="B33" s="2" t="s">
        <v>47</v>
      </c>
      <c r="C33" s="14">
        <f>+C24*$B$32/C$32</f>
        <v>1947.1653052415411</v>
      </c>
      <c r="D33" s="14">
        <f t="shared" ref="D33:V36" si="16">+D24*$B$32/D$32</f>
        <v>2003.9027836412213</v>
      </c>
      <c r="E33" s="14">
        <f t="shared" si="16"/>
        <v>1957.1707011301664</v>
      </c>
      <c r="F33" s="14">
        <f t="shared" si="16"/>
        <v>2263.978535388203</v>
      </c>
      <c r="G33" s="14">
        <f t="shared" si="16"/>
        <v>2206.5590144472776</v>
      </c>
      <c r="H33" s="14">
        <f t="shared" si="16"/>
        <v>2163.6022868059586</v>
      </c>
      <c r="I33" s="14">
        <f t="shared" si="16"/>
        <v>2115.5618551405564</v>
      </c>
      <c r="J33" s="14">
        <f t="shared" si="16"/>
        <v>0</v>
      </c>
      <c r="K33" s="14">
        <f t="shared" si="16"/>
        <v>2032.8269163104869</v>
      </c>
      <c r="L33" s="14">
        <f t="shared" si="16"/>
        <v>2188.3708640971404</v>
      </c>
      <c r="M33" s="14">
        <f t="shared" si="16"/>
        <v>1808.703179460882</v>
      </c>
      <c r="N33" s="14">
        <f t="shared" si="16"/>
        <v>1826.9374282362116</v>
      </c>
      <c r="O33" s="14">
        <f t="shared" si="16"/>
        <v>1798.7545522175997</v>
      </c>
      <c r="P33" s="14">
        <f t="shared" si="16"/>
        <v>1936.2212875239468</v>
      </c>
      <c r="Q33" s="14">
        <f t="shared" si="16"/>
        <v>1923.7180236298582</v>
      </c>
      <c r="R33" s="14">
        <f t="shared" si="16"/>
        <v>1981.0830278562598</v>
      </c>
      <c r="S33" s="14">
        <f t="shared" si="16"/>
        <v>1883.9350136928526</v>
      </c>
      <c r="T33" s="14">
        <f t="shared" si="16"/>
        <v>1810.0014872653428</v>
      </c>
      <c r="U33" s="14">
        <f t="shared" si="16"/>
        <v>2357.4375684999013</v>
      </c>
      <c r="V33" s="14">
        <f t="shared" si="16"/>
        <v>1937.1198728079848</v>
      </c>
    </row>
    <row r="34" spans="1:22" x14ac:dyDescent="0.25">
      <c r="A34" s="9"/>
      <c r="B34" s="2" t="s">
        <v>48</v>
      </c>
      <c r="C34" s="14">
        <f>+C25*$B$32/C$32</f>
        <v>5748.2405291421592</v>
      </c>
      <c r="D34" s="14">
        <f t="shared" si="16"/>
        <v>5795.9583899041827</v>
      </c>
      <c r="E34" s="14">
        <f t="shared" si="16"/>
        <v>5297.8586220247607</v>
      </c>
      <c r="F34" s="14">
        <f t="shared" si="16"/>
        <v>5357.3019032644452</v>
      </c>
      <c r="G34" s="14">
        <f t="shared" si="16"/>
        <v>5213.4938344291932</v>
      </c>
      <c r="H34" s="14">
        <f t="shared" si="16"/>
        <v>4736.1286850254155</v>
      </c>
      <c r="I34" s="14">
        <f t="shared" si="16"/>
        <v>5268.7482284165035</v>
      </c>
      <c r="J34" s="14">
        <f t="shared" si="16"/>
        <v>0</v>
      </c>
      <c r="K34" s="14">
        <f t="shared" si="16"/>
        <v>4160.9768970149025</v>
      </c>
      <c r="L34" s="14">
        <f t="shared" si="16"/>
        <v>4060.5185629446969</v>
      </c>
      <c r="M34" s="14">
        <f t="shared" si="16"/>
        <v>3996.6546903284056</v>
      </c>
      <c r="N34" s="14">
        <f t="shared" si="16"/>
        <v>3725.5769710045797</v>
      </c>
      <c r="O34" s="14">
        <f t="shared" si="16"/>
        <v>3795.8895210721862</v>
      </c>
      <c r="P34" s="14">
        <f t="shared" si="16"/>
        <v>3863.7987300143045</v>
      </c>
      <c r="Q34" s="14">
        <f t="shared" si="16"/>
        <v>3690.859696237861</v>
      </c>
      <c r="R34" s="14">
        <f t="shared" si="16"/>
        <v>4091.1828788007638</v>
      </c>
      <c r="S34" s="14">
        <f t="shared" si="16"/>
        <v>4034.3493575534435</v>
      </c>
      <c r="T34" s="14">
        <f t="shared" si="16"/>
        <v>4543.7484615066496</v>
      </c>
      <c r="U34" s="14">
        <f t="shared" si="16"/>
        <v>3983.6461217533138</v>
      </c>
      <c r="V34" s="14">
        <f t="shared" si="16"/>
        <v>3788.1363250466652</v>
      </c>
    </row>
    <row r="35" spans="1:22" x14ac:dyDescent="0.25">
      <c r="B35" s="2" t="s">
        <v>49</v>
      </c>
      <c r="C35" s="14">
        <f>+C26*$B$32/C$32</f>
        <v>5927.8949125358613</v>
      </c>
      <c r="D35" s="14">
        <f t="shared" si="16"/>
        <v>5821.9997330039341</v>
      </c>
      <c r="E35" s="14">
        <f t="shared" si="16"/>
        <v>5399.917995007715</v>
      </c>
      <c r="F35" s="14">
        <f t="shared" si="16"/>
        <v>5187.4265367929056</v>
      </c>
      <c r="G35" s="14">
        <f t="shared" si="16"/>
        <v>5066.7602737960306</v>
      </c>
      <c r="H35" s="14">
        <f t="shared" si="16"/>
        <v>4787.328198212118</v>
      </c>
      <c r="I35" s="14">
        <f t="shared" si="16"/>
        <v>5062.5830892751419</v>
      </c>
      <c r="J35" s="14">
        <f t="shared" si="16"/>
        <v>0</v>
      </c>
      <c r="K35" s="14">
        <f t="shared" si="16"/>
        <v>4033.7729397155881</v>
      </c>
      <c r="L35" s="14">
        <f t="shared" si="16"/>
        <v>4227.4019203483695</v>
      </c>
      <c r="M35" s="14">
        <f t="shared" si="16"/>
        <v>4382.0685155510546</v>
      </c>
      <c r="N35" s="14">
        <f t="shared" si="16"/>
        <v>3700.9875338746247</v>
      </c>
      <c r="O35" s="14">
        <f t="shared" si="16"/>
        <v>3960.2301875193593</v>
      </c>
      <c r="P35" s="14">
        <f t="shared" si="16"/>
        <v>3841.5806330693144</v>
      </c>
      <c r="Q35" s="14">
        <f t="shared" si="16"/>
        <v>3523.1027064551649</v>
      </c>
      <c r="R35" s="14">
        <f t="shared" si="16"/>
        <v>4118.6846670828836</v>
      </c>
      <c r="S35" s="14">
        <f t="shared" si="16"/>
        <v>3866.4605476629204</v>
      </c>
      <c r="T35" s="14">
        <f t="shared" si="16"/>
        <v>4461.9408447326941</v>
      </c>
      <c r="U35" s="14">
        <f t="shared" si="16"/>
        <v>4280.9099375069245</v>
      </c>
      <c r="V35" s="14">
        <f t="shared" si="16"/>
        <v>3678.9731710157362</v>
      </c>
    </row>
    <row r="36" spans="1:22" x14ac:dyDescent="0.25">
      <c r="B36" s="48" t="s">
        <v>50</v>
      </c>
      <c r="C36" s="50">
        <f>+C27*$B$32/C$32</f>
        <v>5486.419122217133</v>
      </c>
      <c r="D36" s="50">
        <f t="shared" si="16"/>
        <v>5485.9597955629415</v>
      </c>
      <c r="E36" s="50">
        <f t="shared" si="16"/>
        <v>5013.0734464065936</v>
      </c>
      <c r="F36" s="50">
        <f t="shared" si="16"/>
        <v>4964.4927130737451</v>
      </c>
      <c r="G36" s="50">
        <f t="shared" si="16"/>
        <v>4896.4879234829586</v>
      </c>
      <c r="H36" s="50">
        <f t="shared" si="16"/>
        <v>4519.1289403343526</v>
      </c>
      <c r="I36" s="50">
        <f t="shared" si="16"/>
        <v>4912.8834626510843</v>
      </c>
      <c r="J36" s="50"/>
      <c r="K36" s="50">
        <f t="shared" si="16"/>
        <v>3939.3796418640723</v>
      </c>
      <c r="L36" s="50">
        <f t="shared" si="16"/>
        <v>3957.5079566289655</v>
      </c>
      <c r="M36" s="50">
        <f t="shared" si="16"/>
        <v>3986.4554965576294</v>
      </c>
      <c r="N36" s="50">
        <f t="shared" si="16"/>
        <v>3577.1640001806268</v>
      </c>
      <c r="O36" s="50">
        <f t="shared" si="16"/>
        <v>3722.1445507559679</v>
      </c>
      <c r="P36" s="50">
        <f t="shared" si="16"/>
        <v>3736.8285453191365</v>
      </c>
      <c r="Q36" s="50">
        <f t="shared" si="16"/>
        <v>3552.3346504052124</v>
      </c>
      <c r="R36" s="50">
        <f t="shared" si="16"/>
        <v>3994.5813384544331</v>
      </c>
      <c r="S36" s="50">
        <f t="shared" si="16"/>
        <v>3891.3564622877943</v>
      </c>
      <c r="T36" s="50">
        <f t="shared" si="16"/>
        <v>4389.6795780930615</v>
      </c>
      <c r="U36" s="50">
        <f t="shared" si="16"/>
        <v>3990.1382975169636</v>
      </c>
      <c r="V36" s="50">
        <f t="shared" si="16"/>
        <v>3697.9715136364125</v>
      </c>
    </row>
    <row r="37" spans="1:22" x14ac:dyDescent="0.25">
      <c r="B37" s="2" t="s">
        <v>171</v>
      </c>
      <c r="C37" s="11">
        <f>+AVERAGE($C$36:$V$36)</f>
        <v>4300.7361808120568</v>
      </c>
      <c r="D37" s="11">
        <f t="shared" ref="D37:V37" si="17">+AVERAGE($C$36:$V$36)</f>
        <v>4300.7361808120568</v>
      </c>
      <c r="E37" s="11">
        <f t="shared" si="17"/>
        <v>4300.7361808120568</v>
      </c>
      <c r="F37" s="11">
        <f t="shared" si="17"/>
        <v>4300.7361808120568</v>
      </c>
      <c r="G37" s="11">
        <f t="shared" si="17"/>
        <v>4300.7361808120568</v>
      </c>
      <c r="H37" s="11">
        <f t="shared" si="17"/>
        <v>4300.7361808120568</v>
      </c>
      <c r="I37" s="11">
        <f t="shared" si="17"/>
        <v>4300.7361808120568</v>
      </c>
      <c r="J37" s="11">
        <f t="shared" si="17"/>
        <v>4300.7361808120568</v>
      </c>
      <c r="K37" s="11">
        <f t="shared" si="17"/>
        <v>4300.7361808120568</v>
      </c>
      <c r="L37" s="11">
        <f t="shared" si="17"/>
        <v>4300.7361808120568</v>
      </c>
      <c r="M37" s="11">
        <f t="shared" si="17"/>
        <v>4300.7361808120568</v>
      </c>
      <c r="N37" s="11">
        <f t="shared" si="17"/>
        <v>4300.7361808120568</v>
      </c>
      <c r="O37" s="11">
        <f t="shared" si="17"/>
        <v>4300.7361808120568</v>
      </c>
      <c r="P37" s="11">
        <f t="shared" si="17"/>
        <v>4300.7361808120568</v>
      </c>
      <c r="Q37" s="11">
        <f t="shared" si="17"/>
        <v>4300.7361808120568</v>
      </c>
      <c r="R37" s="11">
        <f t="shared" si="17"/>
        <v>4300.7361808120568</v>
      </c>
      <c r="S37" s="11">
        <f t="shared" si="17"/>
        <v>4300.7361808120568</v>
      </c>
      <c r="T37" s="11">
        <f t="shared" si="17"/>
        <v>4300.7361808120568</v>
      </c>
      <c r="U37" s="11">
        <f t="shared" si="17"/>
        <v>4300.7361808120568</v>
      </c>
      <c r="V37" s="11">
        <f t="shared" si="17"/>
        <v>4300.7361808120568</v>
      </c>
    </row>
    <row r="38" spans="1:22" x14ac:dyDescent="0.25">
      <c r="B38" s="2" t="s">
        <v>173</v>
      </c>
      <c r="C38" s="11"/>
      <c r="D38" s="11"/>
      <c r="E38" s="11"/>
      <c r="F38" s="11"/>
      <c r="G38" s="11"/>
      <c r="H38" s="11"/>
      <c r="I38" s="11"/>
      <c r="J38" s="11"/>
      <c r="K38" s="11"/>
      <c r="L38" s="11"/>
      <c r="M38" s="11">
        <f>+AVERAGE($M$36:$V$36)</f>
        <v>3853.8654433207239</v>
      </c>
      <c r="N38" s="11">
        <f t="shared" ref="N38:V38" si="18">+AVERAGE($M$36:$V$36)</f>
        <v>3853.8654433207239</v>
      </c>
      <c r="O38" s="11">
        <f t="shared" si="18"/>
        <v>3853.8654433207239</v>
      </c>
      <c r="P38" s="11">
        <f t="shared" si="18"/>
        <v>3853.8654433207239</v>
      </c>
      <c r="Q38" s="11">
        <f t="shared" si="18"/>
        <v>3853.8654433207239</v>
      </c>
      <c r="R38" s="11">
        <f t="shared" si="18"/>
        <v>3853.8654433207239</v>
      </c>
      <c r="S38" s="11">
        <f t="shared" si="18"/>
        <v>3853.8654433207239</v>
      </c>
      <c r="T38" s="11">
        <f t="shared" si="18"/>
        <v>3853.8654433207239</v>
      </c>
      <c r="U38" s="11">
        <f t="shared" si="18"/>
        <v>3853.8654433207239</v>
      </c>
      <c r="V38" s="11">
        <f t="shared" si="18"/>
        <v>3853.8654433207239</v>
      </c>
    </row>
    <row r="39" spans="1:22" x14ac:dyDescent="0.25">
      <c r="B39" s="2" t="s">
        <v>172</v>
      </c>
      <c r="R39" s="11">
        <f t="shared" ref="R39:U39" si="19">+AVERAGE($R$36:$V$36)</f>
        <v>3992.745437997733</v>
      </c>
      <c r="S39" s="11">
        <f t="shared" si="19"/>
        <v>3992.745437997733</v>
      </c>
      <c r="T39" s="11">
        <f t="shared" si="19"/>
        <v>3992.745437997733</v>
      </c>
      <c r="U39" s="11">
        <f t="shared" si="19"/>
        <v>3992.745437997733</v>
      </c>
      <c r="V39" s="11">
        <f>+AVERAGE($R$36:$V$36)</f>
        <v>3992.745437997733</v>
      </c>
    </row>
    <row r="40" spans="1:22" x14ac:dyDescent="0.25">
      <c r="B40" s="2"/>
      <c r="R40" s="11"/>
      <c r="S40" s="11"/>
      <c r="T40" s="11"/>
      <c r="U40" s="11"/>
      <c r="V40" s="11"/>
    </row>
    <row r="41" spans="1:22" x14ac:dyDescent="0.25">
      <c r="B41" s="2"/>
    </row>
    <row r="42" spans="1:22" ht="18.75" x14ac:dyDescent="0.3">
      <c r="A42" s="1" t="s">
        <v>57</v>
      </c>
      <c r="D42" s="2" t="s">
        <v>19</v>
      </c>
      <c r="E42" s="2" t="s">
        <v>20</v>
      </c>
      <c r="F42" s="2" t="s">
        <v>21</v>
      </c>
      <c r="G42" s="2" t="s">
        <v>22</v>
      </c>
      <c r="H42" s="2" t="s">
        <v>23</v>
      </c>
      <c r="I42" s="2" t="s">
        <v>24</v>
      </c>
      <c r="J42" s="2" t="s">
        <v>25</v>
      </c>
      <c r="K42" s="2" t="s">
        <v>26</v>
      </c>
      <c r="L42" s="2" t="s">
        <v>27</v>
      </c>
      <c r="M42" s="2" t="s">
        <v>28</v>
      </c>
      <c r="N42" s="2" t="s">
        <v>29</v>
      </c>
      <c r="O42" s="2" t="s">
        <v>30</v>
      </c>
      <c r="P42" s="2" t="s">
        <v>31</v>
      </c>
      <c r="Q42" s="2" t="s">
        <v>32</v>
      </c>
      <c r="R42" s="2" t="s">
        <v>33</v>
      </c>
      <c r="S42" s="2" t="s">
        <v>34</v>
      </c>
      <c r="T42" s="2" t="s">
        <v>35</v>
      </c>
      <c r="U42" s="2" t="s">
        <v>36</v>
      </c>
      <c r="V42" s="2" t="s">
        <v>58</v>
      </c>
    </row>
    <row r="43" spans="1:22" x14ac:dyDescent="0.25">
      <c r="B43" s="2" t="s">
        <v>59</v>
      </c>
      <c r="D43" s="11">
        <v>1200816</v>
      </c>
      <c r="E43" s="11">
        <v>1205121</v>
      </c>
      <c r="F43" s="11">
        <v>1207665</v>
      </c>
      <c r="G43" s="11">
        <v>1211431</v>
      </c>
      <c r="H43" s="11">
        <v>1219903</v>
      </c>
      <c r="I43" s="11">
        <v>1223485</v>
      </c>
      <c r="J43" s="11">
        <v>1230074</v>
      </c>
      <c r="K43" s="11">
        <v>1237287</v>
      </c>
      <c r="L43" s="11">
        <v>1244431</v>
      </c>
      <c r="M43" s="11">
        <v>1251315</v>
      </c>
      <c r="N43" s="11">
        <v>1258298</v>
      </c>
      <c r="O43" s="11">
        <v>1265093</v>
      </c>
      <c r="P43" s="11">
        <v>1271158</v>
      </c>
      <c r="Q43" s="11">
        <v>1276690</v>
      </c>
      <c r="R43" s="11">
        <v>1281004</v>
      </c>
      <c r="S43" s="11">
        <v>1285146</v>
      </c>
      <c r="T43" s="11">
        <v>1290003</v>
      </c>
      <c r="U43" s="11">
        <v>1294931</v>
      </c>
      <c r="V43" s="11">
        <v>1299428</v>
      </c>
    </row>
    <row r="44" spans="1:22" x14ac:dyDescent="0.25">
      <c r="A44" s="2" t="s">
        <v>60</v>
      </c>
      <c r="B44" s="2" t="s">
        <v>61</v>
      </c>
      <c r="D44" s="11">
        <v>202725</v>
      </c>
      <c r="E44" s="11">
        <v>205388</v>
      </c>
      <c r="F44" s="11">
        <v>207742</v>
      </c>
      <c r="G44" s="11">
        <v>209873</v>
      </c>
      <c r="H44" s="11">
        <v>211596</v>
      </c>
      <c r="I44" s="11">
        <v>213937</v>
      </c>
      <c r="J44" s="11">
        <v>216059</v>
      </c>
      <c r="K44" s="11">
        <v>218266</v>
      </c>
      <c r="L44" s="11">
        <v>220265</v>
      </c>
      <c r="M44" s="11">
        <v>222702</v>
      </c>
      <c r="N44" s="11">
        <v>225132</v>
      </c>
      <c r="O44" s="11">
        <v>227798</v>
      </c>
      <c r="P44" s="11">
        <v>230328</v>
      </c>
      <c r="Q44" s="11">
        <v>232948</v>
      </c>
      <c r="R44" s="11">
        <v>235467</v>
      </c>
      <c r="S44" s="11">
        <v>237818</v>
      </c>
      <c r="T44" s="11">
        <v>239395</v>
      </c>
      <c r="U44" s="11">
        <v>241155</v>
      </c>
      <c r="V44" s="11">
        <v>242593</v>
      </c>
    </row>
    <row r="45" spans="1:22" x14ac:dyDescent="0.25">
      <c r="B45" s="2" t="s">
        <v>62</v>
      </c>
      <c r="D45" s="11">
        <v>250583</v>
      </c>
      <c r="E45" s="11">
        <v>255063</v>
      </c>
      <c r="F45" s="11">
        <v>260315</v>
      </c>
      <c r="G45" s="11">
        <v>264304</v>
      </c>
      <c r="H45" s="11">
        <v>267821</v>
      </c>
      <c r="I45" s="11">
        <v>271304</v>
      </c>
      <c r="J45" s="11">
        <v>275801</v>
      </c>
      <c r="K45" s="11">
        <v>281154</v>
      </c>
      <c r="L45" s="11">
        <v>285141</v>
      </c>
      <c r="M45" s="11">
        <v>288822</v>
      </c>
      <c r="N45" s="11">
        <v>292926</v>
      </c>
      <c r="O45" s="11">
        <v>297409</v>
      </c>
      <c r="P45" s="11">
        <v>302720</v>
      </c>
      <c r="Q45" s="11">
        <v>307910</v>
      </c>
      <c r="R45" s="11">
        <v>311648</v>
      </c>
      <c r="S45" s="11">
        <v>315511</v>
      </c>
      <c r="T45" s="11">
        <v>319652</v>
      </c>
      <c r="U45" s="11">
        <v>324010</v>
      </c>
      <c r="V45" s="11">
        <v>327623</v>
      </c>
    </row>
    <row r="46" spans="1:22" x14ac:dyDescent="0.25">
      <c r="B46" s="2" t="s">
        <v>63</v>
      </c>
      <c r="D46" s="11">
        <v>463172</v>
      </c>
      <c r="E46" s="11">
        <v>478293</v>
      </c>
      <c r="F46" s="11">
        <v>498592</v>
      </c>
      <c r="G46" s="11">
        <v>514481</v>
      </c>
      <c r="H46" s="11">
        <v>522992</v>
      </c>
      <c r="I46" s="11">
        <v>529453</v>
      </c>
      <c r="J46" s="11">
        <v>535509</v>
      </c>
      <c r="K46" s="11">
        <v>548358</v>
      </c>
      <c r="L46" s="11">
        <v>560173</v>
      </c>
      <c r="M46" s="11">
        <v>572914</v>
      </c>
      <c r="N46" s="11">
        <v>585679</v>
      </c>
      <c r="O46" s="11">
        <v>598020</v>
      </c>
      <c r="P46" s="11">
        <v>610742</v>
      </c>
      <c r="Q46" s="11">
        <v>628145</v>
      </c>
      <c r="R46" s="11">
        <v>643631</v>
      </c>
      <c r="S46" s="11">
        <v>655867</v>
      </c>
      <c r="T46" s="11">
        <v>671124</v>
      </c>
      <c r="U46" s="11">
        <v>686238</v>
      </c>
      <c r="V46" s="11">
        <v>702866</v>
      </c>
    </row>
    <row r="47" spans="1:22" x14ac:dyDescent="0.25">
      <c r="B47" s="2" t="s">
        <v>64</v>
      </c>
      <c r="D47" s="11">
        <v>37367</v>
      </c>
      <c r="E47" s="11">
        <v>38694</v>
      </c>
      <c r="F47" s="11">
        <v>40011</v>
      </c>
      <c r="G47" s="11">
        <v>40995</v>
      </c>
      <c r="H47" s="11">
        <v>41195</v>
      </c>
      <c r="I47" s="11">
        <v>43136</v>
      </c>
      <c r="J47" s="11">
        <v>44753</v>
      </c>
      <c r="K47" s="11">
        <v>45974</v>
      </c>
      <c r="L47" s="11">
        <v>49010</v>
      </c>
      <c r="M47" s="11">
        <v>51334</v>
      </c>
      <c r="N47" s="11">
        <v>53227</v>
      </c>
      <c r="O47" s="11">
        <v>55580</v>
      </c>
      <c r="P47" s="11">
        <v>60458</v>
      </c>
      <c r="Q47" s="11">
        <v>61912</v>
      </c>
      <c r="R47" s="11">
        <v>63309</v>
      </c>
      <c r="S47" s="11">
        <v>68479</v>
      </c>
      <c r="T47" s="11">
        <v>70194</v>
      </c>
      <c r="U47" s="11">
        <v>72108</v>
      </c>
      <c r="V47" s="11">
        <v>72572</v>
      </c>
    </row>
    <row r="48" spans="1:22" x14ac:dyDescent="0.25">
      <c r="B48" s="2" t="s">
        <v>65</v>
      </c>
      <c r="D48" s="11">
        <v>60107</v>
      </c>
      <c r="E48" s="11">
        <v>60092</v>
      </c>
      <c r="F48" s="11">
        <v>60037</v>
      </c>
      <c r="G48" s="11">
        <v>59655</v>
      </c>
      <c r="H48" s="11">
        <v>60418</v>
      </c>
      <c r="I48" s="11">
        <v>61695</v>
      </c>
      <c r="J48" s="11">
        <v>66566</v>
      </c>
      <c r="K48" s="11">
        <v>68235</v>
      </c>
      <c r="L48" s="11">
        <v>67747</v>
      </c>
      <c r="M48" s="11">
        <v>69217</v>
      </c>
      <c r="N48" s="11">
        <v>70091</v>
      </c>
      <c r="O48" s="11">
        <v>71689</v>
      </c>
      <c r="P48" s="11">
        <v>72326</v>
      </c>
      <c r="Q48" s="11">
        <v>73550</v>
      </c>
      <c r="R48" s="11">
        <v>74981</v>
      </c>
      <c r="S48" s="11">
        <v>75017</v>
      </c>
      <c r="T48" s="11">
        <v>76139</v>
      </c>
      <c r="U48" s="11">
        <v>75859</v>
      </c>
      <c r="V48" s="11">
        <v>75800</v>
      </c>
    </row>
    <row r="49" spans="2:22" x14ac:dyDescent="0.25">
      <c r="B49" s="2" t="s">
        <v>66</v>
      </c>
      <c r="D49" s="11">
        <f>+SUM(D43:D48)</f>
        <v>2214770</v>
      </c>
      <c r="E49" s="11">
        <f t="shared" ref="E49:V49" si="20">+SUM(E43:E48)</f>
        <v>2242651</v>
      </c>
      <c r="F49" s="11">
        <f t="shared" si="20"/>
        <v>2274362</v>
      </c>
      <c r="G49" s="11">
        <f t="shared" si="20"/>
        <v>2300739</v>
      </c>
      <c r="H49" s="11">
        <f t="shared" si="20"/>
        <v>2323925</v>
      </c>
      <c r="I49" s="11">
        <f t="shared" si="20"/>
        <v>2343010</v>
      </c>
      <c r="J49" s="11">
        <f t="shared" si="20"/>
        <v>2368762</v>
      </c>
      <c r="K49" s="11">
        <f t="shared" si="20"/>
        <v>2399274</v>
      </c>
      <c r="L49" s="11">
        <f t="shared" si="20"/>
        <v>2426767</v>
      </c>
      <c r="M49" s="11">
        <f t="shared" si="20"/>
        <v>2456304</v>
      </c>
      <c r="N49" s="11">
        <f t="shared" si="20"/>
        <v>2485353</v>
      </c>
      <c r="O49" s="11">
        <f t="shared" si="20"/>
        <v>2515589</v>
      </c>
      <c r="P49" s="11">
        <f t="shared" si="20"/>
        <v>2547732</v>
      </c>
      <c r="Q49" s="11">
        <f t="shared" si="20"/>
        <v>2581155</v>
      </c>
      <c r="R49" s="11">
        <f t="shared" si="20"/>
        <v>2610040</v>
      </c>
      <c r="S49" s="11">
        <f t="shared" si="20"/>
        <v>2637838</v>
      </c>
      <c r="T49" s="11">
        <f t="shared" si="20"/>
        <v>2666507</v>
      </c>
      <c r="U49" s="11">
        <f t="shared" si="20"/>
        <v>2694301</v>
      </c>
      <c r="V49" s="11">
        <f t="shared" si="20"/>
        <v>2720882</v>
      </c>
    </row>
    <row r="50" spans="2:22" x14ac:dyDescent="0.25">
      <c r="B50" s="2"/>
      <c r="D50" s="11"/>
      <c r="E50" s="11"/>
      <c r="F50" s="11"/>
      <c r="G50" s="11"/>
      <c r="H50" s="11"/>
      <c r="I50" s="11"/>
      <c r="J50" s="11"/>
      <c r="K50" s="11"/>
      <c r="L50" s="11"/>
      <c r="M50" s="11"/>
      <c r="N50" s="11"/>
      <c r="O50" s="11"/>
      <c r="P50" s="11"/>
      <c r="Q50" s="11"/>
      <c r="R50" s="11"/>
      <c r="S50" s="11"/>
      <c r="T50" s="11"/>
      <c r="U50" s="11"/>
      <c r="V50" s="11"/>
    </row>
    <row r="51" spans="2:22" x14ac:dyDescent="0.25">
      <c r="C51" s="2">
        <v>2005</v>
      </c>
      <c r="D51" s="2" t="s">
        <v>19</v>
      </c>
      <c r="E51" s="2" t="s">
        <v>20</v>
      </c>
      <c r="F51" s="2" t="s">
        <v>21</v>
      </c>
      <c r="G51" s="2" t="s">
        <v>22</v>
      </c>
      <c r="H51" s="2" t="s">
        <v>23</v>
      </c>
      <c r="I51" s="2" t="s">
        <v>24</v>
      </c>
      <c r="J51" s="2" t="s">
        <v>25</v>
      </c>
      <c r="K51" s="2" t="s">
        <v>26</v>
      </c>
      <c r="L51" s="2" t="s">
        <v>27</v>
      </c>
      <c r="M51" s="2" t="s">
        <v>28</v>
      </c>
      <c r="N51" s="2" t="s">
        <v>29</v>
      </c>
      <c r="O51" s="2" t="s">
        <v>30</v>
      </c>
      <c r="P51" s="2" t="s">
        <v>31</v>
      </c>
      <c r="Q51" s="2" t="s">
        <v>32</v>
      </c>
      <c r="R51" s="2" t="s">
        <v>33</v>
      </c>
      <c r="S51" s="2" t="s">
        <v>34</v>
      </c>
      <c r="T51" s="2" t="s">
        <v>35</v>
      </c>
      <c r="U51" s="2" t="s">
        <v>36</v>
      </c>
      <c r="V51" s="2" t="s">
        <v>58</v>
      </c>
    </row>
    <row r="52" spans="2:22" x14ac:dyDescent="0.25">
      <c r="B52" s="2" t="s">
        <v>67</v>
      </c>
      <c r="E52" s="11">
        <f>+E43-D43+E44-D44+E45-D45</f>
        <v>11448</v>
      </c>
      <c r="F52" s="11">
        <f t="shared" ref="F52:U52" si="21">+F43-E43+F44-E44+F45-E45</f>
        <v>10150</v>
      </c>
      <c r="G52" s="11">
        <f t="shared" si="21"/>
        <v>9886</v>
      </c>
      <c r="H52" s="11">
        <f t="shared" si="21"/>
        <v>13712</v>
      </c>
      <c r="I52" s="11">
        <f t="shared" si="21"/>
        <v>9406</v>
      </c>
      <c r="J52" s="11">
        <f t="shared" si="21"/>
        <v>13208</v>
      </c>
      <c r="K52" s="11">
        <f t="shared" si="21"/>
        <v>14773</v>
      </c>
      <c r="L52" s="11">
        <f t="shared" si="21"/>
        <v>13130</v>
      </c>
      <c r="M52" s="11">
        <f t="shared" si="21"/>
        <v>13002</v>
      </c>
      <c r="N52" s="11">
        <f t="shared" si="21"/>
        <v>13517</v>
      </c>
      <c r="O52" s="11">
        <f t="shared" si="21"/>
        <v>13944</v>
      </c>
      <c r="P52" s="11">
        <f t="shared" si="21"/>
        <v>13906</v>
      </c>
      <c r="Q52" s="11">
        <f t="shared" si="21"/>
        <v>13342</v>
      </c>
      <c r="R52" s="11">
        <f t="shared" si="21"/>
        <v>10571</v>
      </c>
      <c r="S52" s="11">
        <f t="shared" si="21"/>
        <v>10356</v>
      </c>
      <c r="T52" s="11">
        <f t="shared" si="21"/>
        <v>10575</v>
      </c>
      <c r="U52" s="11">
        <f t="shared" si="21"/>
        <v>11046</v>
      </c>
      <c r="V52" s="11">
        <f>+V43-U43+V44-U44+V45-U45</f>
        <v>9548</v>
      </c>
    </row>
    <row r="53" spans="2:22" x14ac:dyDescent="0.25">
      <c r="B53" s="2" t="s">
        <v>68</v>
      </c>
      <c r="E53" s="11">
        <f>+(E19-D19)*1000</f>
        <v>15199.999999999989</v>
      </c>
      <c r="F53" s="11">
        <f>+(F19-E19)*1000</f>
        <v>38699.999999999985</v>
      </c>
      <c r="G53" s="11">
        <f>+(G19-F19)*1000</f>
        <v>52900.000000000036</v>
      </c>
      <c r="H53" s="11">
        <f>+(H19-G19)*1000</f>
        <v>44600.000000000022</v>
      </c>
      <c r="I53" s="11">
        <f>+(I19-H19)*1000</f>
        <v>30000</v>
      </c>
      <c r="J53" s="11"/>
      <c r="K53" s="11">
        <f>+(K19-I19)*1000</f>
        <v>31199.999999999931</v>
      </c>
      <c r="L53" s="11">
        <f t="shared" ref="L53:U53" si="22">+(L19-K19)*1000</f>
        <v>7500</v>
      </c>
      <c r="M53" s="11">
        <f t="shared" si="22"/>
        <v>39800.000000000065</v>
      </c>
      <c r="N53" s="11">
        <f t="shared" si="22"/>
        <v>23199.999999999931</v>
      </c>
      <c r="O53" s="11">
        <f t="shared" si="22"/>
        <v>64200.000000000044</v>
      </c>
      <c r="P53" s="11">
        <f t="shared" si="22"/>
        <v>-36100.000000000022</v>
      </c>
      <c r="Q53" s="11">
        <f t="shared" si="22"/>
        <v>399.99999999997726</v>
      </c>
      <c r="R53" s="11">
        <f t="shared" si="22"/>
        <v>21600.000000000022</v>
      </c>
      <c r="S53" s="11">
        <f t="shared" si="22"/>
        <v>103200.00000000004</v>
      </c>
      <c r="T53" s="11">
        <f t="shared" si="22"/>
        <v>-14400.000000000091</v>
      </c>
      <c r="U53" s="11">
        <f t="shared" si="22"/>
        <v>13700.000000000045</v>
      </c>
      <c r="V53" s="11"/>
    </row>
    <row r="54" spans="2:22" x14ac:dyDescent="0.25">
      <c r="B54" s="2" t="s">
        <v>69</v>
      </c>
      <c r="E54" s="11">
        <f>+(E19-D19)*1000</f>
        <v>15199.999999999989</v>
      </c>
      <c r="F54" s="11">
        <f>+(F19-E19)*1000</f>
        <v>38699.999999999985</v>
      </c>
      <c r="G54" s="11">
        <f>+(G19-F19)*1000</f>
        <v>52900.000000000036</v>
      </c>
      <c r="H54" s="11">
        <f>+(H19-G19)*1000</f>
        <v>44600.000000000022</v>
      </c>
      <c r="I54" s="11">
        <f>+(I19-H19)*1000</f>
        <v>30000</v>
      </c>
      <c r="J54" s="11">
        <f>+(K19-I19)*1000/2</f>
        <v>15599.999999999965</v>
      </c>
      <c r="K54" s="11">
        <f>+(K19-I19)*1000/2</f>
        <v>15599.999999999965</v>
      </c>
      <c r="L54" s="11">
        <f>+(L19-K19)*1000</f>
        <v>7500</v>
      </c>
      <c r="M54" s="11">
        <f>+(M19-L19)*1000</f>
        <v>39800.000000000065</v>
      </c>
      <c r="N54" s="11">
        <f>+(N19-M19)*1000</f>
        <v>23199.999999999931</v>
      </c>
      <c r="O54" s="11">
        <f>+(O19-N19)*1000</f>
        <v>64200.000000000044</v>
      </c>
      <c r="P54" s="11">
        <f>+S54</f>
        <v>22275.000000000007</v>
      </c>
      <c r="Q54" s="11">
        <f>+S54</f>
        <v>22275.000000000007</v>
      </c>
      <c r="R54" s="11">
        <f>+S54</f>
        <v>22275.000000000007</v>
      </c>
      <c r="S54" s="11">
        <f>+(S19-O19)*1000/4</f>
        <v>22275.000000000007</v>
      </c>
    </row>
    <row r="55" spans="2:22" x14ac:dyDescent="0.25">
      <c r="B55" s="2" t="s">
        <v>70</v>
      </c>
      <c r="C55" s="11">
        <f t="shared" ref="C55:I55" si="23">+C21*1000</f>
        <v>1217600</v>
      </c>
      <c r="D55" s="11">
        <f t="shared" si="23"/>
        <v>1243700</v>
      </c>
      <c r="E55" s="11">
        <f t="shared" si="23"/>
        <v>1240200</v>
      </c>
      <c r="F55" s="11">
        <f t="shared" si="23"/>
        <v>1256700</v>
      </c>
      <c r="G55" s="11">
        <f t="shared" si="23"/>
        <v>1258100</v>
      </c>
      <c r="H55" s="11">
        <f t="shared" si="23"/>
        <v>1293400</v>
      </c>
      <c r="I55" s="11">
        <f t="shared" si="23"/>
        <v>1338700</v>
      </c>
      <c r="J55" s="11"/>
      <c r="K55" s="11">
        <f t="shared" ref="K55:U55" si="24">+K21*1000</f>
        <v>1264500</v>
      </c>
      <c r="L55" s="11">
        <f t="shared" si="24"/>
        <v>1232500</v>
      </c>
      <c r="M55" s="11">
        <f t="shared" si="24"/>
        <v>1197800</v>
      </c>
      <c r="N55" s="11">
        <f t="shared" si="24"/>
        <v>1228900</v>
      </c>
      <c r="O55" s="11">
        <f t="shared" si="24"/>
        <v>1275800</v>
      </c>
      <c r="P55" s="11">
        <f t="shared" si="24"/>
        <v>1193900</v>
      </c>
      <c r="Q55" s="11">
        <f t="shared" si="24"/>
        <v>1135700</v>
      </c>
      <c r="R55" s="11">
        <f t="shared" si="24"/>
        <v>1181200</v>
      </c>
      <c r="S55" s="11">
        <f t="shared" si="24"/>
        <v>1271300</v>
      </c>
      <c r="T55" s="11">
        <f t="shared" si="24"/>
        <v>1275700</v>
      </c>
      <c r="U55" s="11">
        <f t="shared" si="24"/>
        <v>1269400</v>
      </c>
    </row>
    <row r="56" spans="2:22" x14ac:dyDescent="0.25">
      <c r="B56" s="2" t="s">
        <v>71</v>
      </c>
      <c r="C56" s="11">
        <v>1217600</v>
      </c>
      <c r="D56" s="11">
        <v>1220477.7777777778</v>
      </c>
      <c r="E56" s="11">
        <v>1223355.5555555555</v>
      </c>
      <c r="F56" s="11">
        <v>1226233.3333333333</v>
      </c>
      <c r="G56" s="11">
        <v>1229111.1111111112</v>
      </c>
      <c r="H56" s="11">
        <v>1231988.888888889</v>
      </c>
      <c r="I56" s="11">
        <v>1234866.6666666667</v>
      </c>
      <c r="J56" s="11">
        <v>1237744.4444444445</v>
      </c>
      <c r="K56" s="11">
        <v>1240622.2222222222</v>
      </c>
      <c r="L56" s="11">
        <v>1243500</v>
      </c>
      <c r="M56" s="11">
        <v>1246377.7777777778</v>
      </c>
      <c r="N56" s="11">
        <v>1249255.5555555555</v>
      </c>
      <c r="O56" s="11">
        <v>1252133.3333333333</v>
      </c>
      <c r="P56" s="11">
        <v>1255011.1111111112</v>
      </c>
      <c r="Q56" s="11">
        <v>1257888.888888889</v>
      </c>
      <c r="R56" s="11">
        <v>1260766.6666666667</v>
      </c>
      <c r="S56" s="11">
        <v>1263644.4444444445</v>
      </c>
      <c r="T56" s="11">
        <v>1266522.2222222222</v>
      </c>
      <c r="U56" s="11">
        <v>1269400</v>
      </c>
    </row>
    <row r="57" spans="2:22" x14ac:dyDescent="0.25">
      <c r="B57" s="2" t="s">
        <v>72</v>
      </c>
      <c r="D57" s="11">
        <f>+D56-C56</f>
        <v>2877.7777777777519</v>
      </c>
      <c r="E57" s="11">
        <f t="shared" ref="E57:U57" si="25">+E56-D56</f>
        <v>2877.7777777777519</v>
      </c>
      <c r="F57" s="11">
        <f t="shared" si="25"/>
        <v>2877.7777777777519</v>
      </c>
      <c r="G57" s="11">
        <f t="shared" si="25"/>
        <v>2877.7777777779847</v>
      </c>
      <c r="H57" s="11">
        <f t="shared" si="25"/>
        <v>2877.7777777777519</v>
      </c>
      <c r="I57" s="11">
        <f t="shared" si="25"/>
        <v>2877.7777777777519</v>
      </c>
      <c r="J57" s="11">
        <f t="shared" si="25"/>
        <v>2877.7777777777519</v>
      </c>
      <c r="K57" s="11">
        <f t="shared" si="25"/>
        <v>2877.7777777777519</v>
      </c>
      <c r="L57" s="11">
        <f t="shared" si="25"/>
        <v>2877.7777777777519</v>
      </c>
      <c r="M57" s="11">
        <f t="shared" si="25"/>
        <v>2877.7777777777519</v>
      </c>
      <c r="N57" s="11">
        <f t="shared" si="25"/>
        <v>2877.7777777777519</v>
      </c>
      <c r="O57" s="11">
        <f t="shared" si="25"/>
        <v>2877.7777777777519</v>
      </c>
      <c r="P57" s="11">
        <f t="shared" si="25"/>
        <v>2877.7777777779847</v>
      </c>
      <c r="Q57" s="11">
        <f t="shared" si="25"/>
        <v>2877.7777777777519</v>
      </c>
      <c r="R57" s="11">
        <f t="shared" si="25"/>
        <v>2877.7777777777519</v>
      </c>
      <c r="S57" s="11">
        <f t="shared" si="25"/>
        <v>2877.7777777777519</v>
      </c>
      <c r="T57" s="11">
        <f t="shared" si="25"/>
        <v>2877.7777777777519</v>
      </c>
      <c r="U57" s="11">
        <f t="shared" si="25"/>
        <v>2877.7777777777519</v>
      </c>
    </row>
    <row r="58" spans="2:22" x14ac:dyDescent="0.25">
      <c r="B58" s="2" t="s">
        <v>73</v>
      </c>
      <c r="E58" s="17">
        <f>+E57/E52</f>
        <v>0.25137821259414322</v>
      </c>
      <c r="F58" s="17">
        <f t="shared" ref="F58:U58" si="26">+F57/F52</f>
        <v>0.28352490421455684</v>
      </c>
      <c r="G58" s="17">
        <f t="shared" si="26"/>
        <v>0.29109627531640547</v>
      </c>
      <c r="H58" s="17">
        <f t="shared" si="26"/>
        <v>0.20987294178659219</v>
      </c>
      <c r="I58" s="17">
        <f t="shared" si="26"/>
        <v>0.30595128405036698</v>
      </c>
      <c r="J58" s="17">
        <f t="shared" si="26"/>
        <v>0.21788141866881827</v>
      </c>
      <c r="K58" s="17">
        <f t="shared" si="26"/>
        <v>0.19479982249900168</v>
      </c>
      <c r="L58" s="17">
        <f t="shared" si="26"/>
        <v>0.21917576373021722</v>
      </c>
      <c r="M58" s="17">
        <f t="shared" si="26"/>
        <v>0.22133347006443255</v>
      </c>
      <c r="N58" s="17">
        <f t="shared" si="26"/>
        <v>0.21290062719373765</v>
      </c>
      <c r="O58" s="17">
        <f t="shared" si="26"/>
        <v>0.20638107987505391</v>
      </c>
      <c r="P58" s="17">
        <f t="shared" si="26"/>
        <v>0.2069450437061689</v>
      </c>
      <c r="Q58" s="17">
        <f t="shared" si="26"/>
        <v>0.21569313279701333</v>
      </c>
      <c r="R58" s="17">
        <f t="shared" si="26"/>
        <v>0.27223325870568083</v>
      </c>
      <c r="S58" s="17">
        <f t="shared" si="26"/>
        <v>0.27788506931032753</v>
      </c>
      <c r="T58" s="17">
        <f t="shared" si="26"/>
        <v>0.27213028631468106</v>
      </c>
      <c r="U58" s="17">
        <f t="shared" si="26"/>
        <v>0.26052668638219734</v>
      </c>
    </row>
    <row r="59" spans="2:22" x14ac:dyDescent="0.25">
      <c r="B59" s="2" t="s">
        <v>74</v>
      </c>
      <c r="E59" s="18">
        <f>+AVERAGE(E58:U58)</f>
        <v>0.24233583983584678</v>
      </c>
      <c r="F59" s="18">
        <f>+E59</f>
        <v>0.24233583983584678</v>
      </c>
      <c r="G59" s="18">
        <f t="shared" ref="G59:U59" si="27">+F59</f>
        <v>0.24233583983584678</v>
      </c>
      <c r="H59" s="18">
        <f t="shared" si="27"/>
        <v>0.24233583983584678</v>
      </c>
      <c r="I59" s="18">
        <f t="shared" si="27"/>
        <v>0.24233583983584678</v>
      </c>
      <c r="J59" s="18">
        <f t="shared" si="27"/>
        <v>0.24233583983584678</v>
      </c>
      <c r="K59" s="18">
        <f t="shared" si="27"/>
        <v>0.24233583983584678</v>
      </c>
      <c r="L59" s="18">
        <f t="shared" si="27"/>
        <v>0.24233583983584678</v>
      </c>
      <c r="M59" s="18">
        <f t="shared" si="27"/>
        <v>0.24233583983584678</v>
      </c>
      <c r="N59" s="18">
        <f t="shared" si="27"/>
        <v>0.24233583983584678</v>
      </c>
      <c r="O59" s="18">
        <f t="shared" si="27"/>
        <v>0.24233583983584678</v>
      </c>
      <c r="P59" s="18">
        <f t="shared" si="27"/>
        <v>0.24233583983584678</v>
      </c>
      <c r="Q59" s="18">
        <f t="shared" si="27"/>
        <v>0.24233583983584678</v>
      </c>
      <c r="R59" s="18">
        <f t="shared" si="27"/>
        <v>0.24233583983584678</v>
      </c>
      <c r="S59" s="18">
        <f t="shared" si="27"/>
        <v>0.24233583983584678</v>
      </c>
      <c r="T59" s="18">
        <f t="shared" si="27"/>
        <v>0.24233583983584678</v>
      </c>
      <c r="U59" s="18">
        <f t="shared" si="27"/>
        <v>0.24233583983584678</v>
      </c>
    </row>
    <row r="60" spans="2:22" x14ac:dyDescent="0.25">
      <c r="B60" s="2" t="s">
        <v>75</v>
      </c>
      <c r="E60" s="17">
        <f>+E52/(E49-D49)</f>
        <v>0.41060220221656324</v>
      </c>
      <c r="F60" s="17">
        <f t="shared" ref="F60:U60" si="28">+F52/(F49-E49)</f>
        <v>0.32007820630065276</v>
      </c>
      <c r="G60" s="17">
        <f t="shared" si="28"/>
        <v>0.37479622398301549</v>
      </c>
      <c r="H60" s="17">
        <f t="shared" si="28"/>
        <v>0.59139135685327349</v>
      </c>
      <c r="I60" s="17">
        <f t="shared" si="28"/>
        <v>0.49284778621954417</v>
      </c>
      <c r="J60" s="17">
        <f t="shared" si="28"/>
        <v>0.512892202547375</v>
      </c>
      <c r="K60" s="17">
        <f t="shared" si="28"/>
        <v>0.4841701625589932</v>
      </c>
      <c r="L60" s="17">
        <f t="shared" si="28"/>
        <v>0.47757611028261737</v>
      </c>
      <c r="M60" s="17">
        <f t="shared" si="28"/>
        <v>0.44019365541524191</v>
      </c>
      <c r="N60" s="17">
        <f t="shared" si="28"/>
        <v>0.46531722262384245</v>
      </c>
      <c r="O60" s="17">
        <f t="shared" si="28"/>
        <v>0.46117211271332187</v>
      </c>
      <c r="P60" s="17">
        <f t="shared" si="28"/>
        <v>0.43262918831471858</v>
      </c>
      <c r="Q60" s="17">
        <f t="shared" si="28"/>
        <v>0.39918618915118331</v>
      </c>
      <c r="R60" s="17">
        <f t="shared" si="28"/>
        <v>0.3659684957590445</v>
      </c>
      <c r="S60" s="17">
        <f t="shared" si="28"/>
        <v>0.37254478739477659</v>
      </c>
      <c r="T60" s="17">
        <f t="shared" si="28"/>
        <v>0.36886532491541385</v>
      </c>
      <c r="U60" s="17">
        <f t="shared" si="28"/>
        <v>0.39742390443980713</v>
      </c>
    </row>
    <row r="64" spans="2:22" x14ac:dyDescent="0.25">
      <c r="C64" s="5" t="s">
        <v>18</v>
      </c>
      <c r="D64" s="5" t="s">
        <v>19</v>
      </c>
      <c r="E64" s="5" t="s">
        <v>20</v>
      </c>
      <c r="F64" s="5" t="s">
        <v>21</v>
      </c>
      <c r="G64" s="5" t="s">
        <v>22</v>
      </c>
      <c r="H64" s="5" t="s">
        <v>23</v>
      </c>
      <c r="I64" s="5" t="s">
        <v>24</v>
      </c>
      <c r="J64" s="5" t="s">
        <v>25</v>
      </c>
      <c r="K64" s="5" t="s">
        <v>26</v>
      </c>
      <c r="L64" s="5" t="s">
        <v>27</v>
      </c>
      <c r="M64" s="5" t="s">
        <v>28</v>
      </c>
      <c r="N64" s="5" t="s">
        <v>29</v>
      </c>
      <c r="O64" s="5" t="s">
        <v>30</v>
      </c>
      <c r="P64" s="5" t="s">
        <v>31</v>
      </c>
      <c r="Q64" s="5" t="s">
        <v>32</v>
      </c>
      <c r="R64" s="5" t="s">
        <v>33</v>
      </c>
      <c r="S64" s="5" t="s">
        <v>34</v>
      </c>
      <c r="T64" s="5" t="s">
        <v>35</v>
      </c>
      <c r="U64" s="5" t="s">
        <v>36</v>
      </c>
      <c r="V64" s="5">
        <v>2024</v>
      </c>
    </row>
    <row r="65" spans="1:22" x14ac:dyDescent="0.25">
      <c r="A65" t="s">
        <v>55</v>
      </c>
      <c r="B65" t="s">
        <v>76</v>
      </c>
      <c r="C65" s="11">
        <v>5289.093298291722</v>
      </c>
      <c r="D65" s="11">
        <v>5145.9355149955773</v>
      </c>
      <c r="E65" s="11">
        <v>4894.3718755039508</v>
      </c>
      <c r="F65" s="11">
        <v>4774.4091668656001</v>
      </c>
      <c r="G65" s="11">
        <v>4936.0146252285194</v>
      </c>
      <c r="H65" s="11">
        <v>5373.4343590536564</v>
      </c>
      <c r="I65" s="11">
        <v>4616.4189138716665</v>
      </c>
      <c r="J65" s="11"/>
      <c r="K65" s="11">
        <v>3993.6733886911825</v>
      </c>
      <c r="L65" s="11">
        <v>3496.9574036511158</v>
      </c>
      <c r="M65" s="11">
        <v>3673.4012355985974</v>
      </c>
      <c r="N65" s="11">
        <v>3450.2400520790948</v>
      </c>
      <c r="O65" s="11">
        <v>3621.2572503527199</v>
      </c>
      <c r="P65" s="11">
        <v>3626.769411173465</v>
      </c>
      <c r="Q65" s="11">
        <v>3442.8106013912125</v>
      </c>
      <c r="R65" s="11">
        <v>3471.0463934981371</v>
      </c>
      <c r="S65" s="11">
        <v>3846.4563832297649</v>
      </c>
      <c r="T65" s="11">
        <v>4060.5157952496666</v>
      </c>
      <c r="U65" s="11">
        <v>3986.1351819757365</v>
      </c>
      <c r="V65" s="11">
        <f>+V27*1000/V21</f>
        <v>2583.6779467585179</v>
      </c>
    </row>
    <row r="66" spans="1:22" x14ac:dyDescent="0.25">
      <c r="B66" t="s">
        <v>77</v>
      </c>
      <c r="C66" s="11">
        <f>+AVERAGE($C$65:$U$65)</f>
        <v>4205.496713927856</v>
      </c>
      <c r="D66" s="11">
        <f t="shared" ref="D66:U66" si="29">+AVERAGE($C$65:$U$65)</f>
        <v>4205.496713927856</v>
      </c>
      <c r="E66" s="11">
        <f t="shared" si="29"/>
        <v>4205.496713927856</v>
      </c>
      <c r="F66" s="11">
        <f t="shared" si="29"/>
        <v>4205.496713927856</v>
      </c>
      <c r="G66" s="11">
        <f t="shared" si="29"/>
        <v>4205.496713927856</v>
      </c>
      <c r="H66" s="11">
        <f t="shared" si="29"/>
        <v>4205.496713927856</v>
      </c>
      <c r="I66" s="11">
        <f t="shared" si="29"/>
        <v>4205.496713927856</v>
      </c>
      <c r="J66" s="11">
        <f t="shared" si="29"/>
        <v>4205.496713927856</v>
      </c>
      <c r="K66" s="11">
        <f t="shared" si="29"/>
        <v>4205.496713927856</v>
      </c>
      <c r="L66" s="11">
        <f t="shared" si="29"/>
        <v>4205.496713927856</v>
      </c>
      <c r="M66" s="11">
        <f t="shared" si="29"/>
        <v>4205.496713927856</v>
      </c>
      <c r="N66" s="11">
        <f t="shared" si="29"/>
        <v>4205.496713927856</v>
      </c>
      <c r="O66" s="11">
        <f t="shared" si="29"/>
        <v>4205.496713927856</v>
      </c>
      <c r="P66" s="11">
        <f t="shared" si="29"/>
        <v>4205.496713927856</v>
      </c>
      <c r="Q66" s="11">
        <f t="shared" si="29"/>
        <v>4205.496713927856</v>
      </c>
      <c r="R66" s="11">
        <f t="shared" si="29"/>
        <v>4205.496713927856</v>
      </c>
      <c r="S66" s="11">
        <f t="shared" si="29"/>
        <v>4205.496713927856</v>
      </c>
      <c r="T66" s="11">
        <f t="shared" si="29"/>
        <v>4205.496713927856</v>
      </c>
      <c r="U66" s="11">
        <f t="shared" si="29"/>
        <v>4205.496713927856</v>
      </c>
    </row>
    <row r="67" spans="1:22" x14ac:dyDescent="0.25">
      <c r="B67" t="s">
        <v>78</v>
      </c>
      <c r="C67" s="11"/>
      <c r="D67" s="11"/>
      <c r="E67" s="11"/>
      <c r="F67" s="11"/>
      <c r="G67" s="11"/>
      <c r="H67" s="11"/>
      <c r="I67" s="11"/>
      <c r="J67" s="11"/>
      <c r="K67" s="11"/>
      <c r="L67" s="11">
        <f>+AVERAGE($L$65:$U$65)</f>
        <v>3667.5589708199504</v>
      </c>
      <c r="M67" s="11">
        <f t="shared" ref="M67:U67" si="30">+AVERAGE($L$65:$U$65)</f>
        <v>3667.5589708199504</v>
      </c>
      <c r="N67" s="11">
        <f t="shared" si="30"/>
        <v>3667.5589708199504</v>
      </c>
      <c r="O67" s="11">
        <f t="shared" si="30"/>
        <v>3667.5589708199504</v>
      </c>
      <c r="P67" s="11">
        <f t="shared" si="30"/>
        <v>3667.5589708199504</v>
      </c>
      <c r="Q67" s="11">
        <f t="shared" si="30"/>
        <v>3667.5589708199504</v>
      </c>
      <c r="R67" s="11">
        <f t="shared" si="30"/>
        <v>3667.5589708199504</v>
      </c>
      <c r="S67" s="11">
        <f t="shared" si="30"/>
        <v>3667.5589708199504</v>
      </c>
      <c r="T67" s="11">
        <f t="shared" si="30"/>
        <v>3667.5589708199504</v>
      </c>
      <c r="U67" s="11">
        <f t="shared" si="30"/>
        <v>3667.5589708199504</v>
      </c>
    </row>
    <row r="68" spans="1:22" x14ac:dyDescent="0.25">
      <c r="B68" t="s">
        <v>79</v>
      </c>
      <c r="Q68" s="11">
        <f>+AVERAGE($Q$65:$U$65)</f>
        <v>3761.3928710689033</v>
      </c>
      <c r="R68" s="11">
        <f t="shared" ref="R68:U68" si="31">+AVERAGE($Q$65:$U$65)</f>
        <v>3761.3928710689033</v>
      </c>
      <c r="S68" s="11">
        <f t="shared" si="31"/>
        <v>3761.3928710689033</v>
      </c>
      <c r="T68" s="11">
        <f t="shared" si="31"/>
        <v>3761.3928710689033</v>
      </c>
      <c r="U68" s="11">
        <f t="shared" si="31"/>
        <v>3761.3928710689033</v>
      </c>
    </row>
    <row r="89" spans="1:1" x14ac:dyDescent="0.25">
      <c r="A89" t="s">
        <v>83</v>
      </c>
    </row>
    <row r="90" spans="1:1" x14ac:dyDescent="0.25">
      <c r="A90" t="s">
        <v>46</v>
      </c>
    </row>
    <row r="91" spans="1:1" x14ac:dyDescent="0.25">
      <c r="A91" t="s">
        <v>84</v>
      </c>
    </row>
    <row r="92" spans="1:1" x14ac:dyDescent="0.25">
      <c r="A92" t="s">
        <v>51</v>
      </c>
    </row>
    <row r="93" spans="1:1" x14ac:dyDescent="0.25">
      <c r="A93" t="s">
        <v>84</v>
      </c>
    </row>
    <row r="94" spans="1:1" x14ac:dyDescent="0.25">
      <c r="A94" t="s">
        <v>52</v>
      </c>
    </row>
    <row r="95" spans="1:1" x14ac:dyDescent="0.25">
      <c r="A95" t="s">
        <v>84</v>
      </c>
    </row>
    <row r="96" spans="1:1" x14ac:dyDescent="0.25">
      <c r="A96" t="s">
        <v>53</v>
      </c>
    </row>
    <row r="97" spans="1:1" x14ac:dyDescent="0.25">
      <c r="A97" t="s">
        <v>84</v>
      </c>
    </row>
    <row r="103" spans="1:1" x14ac:dyDescent="0.25">
      <c r="A103" t="s">
        <v>85</v>
      </c>
    </row>
    <row r="105" spans="1:1" x14ac:dyDescent="0.25">
      <c r="A105" t="s">
        <v>86</v>
      </c>
    </row>
    <row r="106" spans="1:1" x14ac:dyDescent="0.25">
      <c r="A106" t="s">
        <v>87</v>
      </c>
    </row>
    <row r="108" spans="1:1" x14ac:dyDescent="0.25">
      <c r="A108" t="s">
        <v>88</v>
      </c>
    </row>
    <row r="109" spans="1:1" x14ac:dyDescent="0.25">
      <c r="A109" t="s">
        <v>89</v>
      </c>
    </row>
  </sheetData>
  <mergeCells count="6">
    <mergeCell ref="A28:A31"/>
    <mergeCell ref="A5:A8"/>
    <mergeCell ref="A10:A13"/>
    <mergeCell ref="A14:A17"/>
    <mergeCell ref="A18:A23"/>
    <mergeCell ref="A24:A27"/>
  </mergeCells>
  <pageMargins left="0.75" right="0.75" top="0.75" bottom="0.5" header="0.5" footer="0.7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BE835-0641-45E0-BD17-E16CE30E4FF8}">
  <dimension ref="B3:H50"/>
  <sheetViews>
    <sheetView workbookViewId="0">
      <selection activeCell="H50" sqref="H50"/>
    </sheetView>
  </sheetViews>
  <sheetFormatPr baseColWidth="10" defaultColWidth="11.42578125" defaultRowHeight="15" x14ac:dyDescent="0.25"/>
  <sheetData>
    <row r="3" spans="2:8" x14ac:dyDescent="0.25">
      <c r="B3" s="25"/>
      <c r="C3" s="58" t="s">
        <v>97</v>
      </c>
      <c r="D3" s="58"/>
      <c r="E3" s="58"/>
      <c r="F3" s="58"/>
      <c r="G3" s="58"/>
      <c r="H3" s="58"/>
    </row>
    <row r="4" spans="2:8" x14ac:dyDescent="0.25">
      <c r="B4" s="25" t="s">
        <v>90</v>
      </c>
      <c r="C4" s="26" t="s">
        <v>91</v>
      </c>
      <c r="D4" s="26" t="s">
        <v>92</v>
      </c>
      <c r="E4" s="26" t="s">
        <v>93</v>
      </c>
      <c r="F4" s="26" t="s">
        <v>94</v>
      </c>
      <c r="G4" s="26" t="s">
        <v>95</v>
      </c>
      <c r="H4" s="26" t="s">
        <v>96</v>
      </c>
    </row>
    <row r="5" spans="2:8" x14ac:dyDescent="0.25">
      <c r="B5" s="26">
        <v>2005</v>
      </c>
      <c r="C5" s="24">
        <v>1368.1010517383168</v>
      </c>
      <c r="D5" s="24">
        <v>31.213933740017165</v>
      </c>
      <c r="E5" s="24">
        <v>216.62553077823196</v>
      </c>
      <c r="F5" s="24">
        <v>45.298457769358201</v>
      </c>
      <c r="G5" s="24">
        <v>0</v>
      </c>
      <c r="H5" s="24">
        <f>+SUM(C5:G5)</f>
        <v>1661.2389740259241</v>
      </c>
    </row>
    <row r="6" spans="2:8" x14ac:dyDescent="0.25">
      <c r="B6" s="26">
        <v>2006</v>
      </c>
      <c r="C6" s="24">
        <v>2029.0532150065337</v>
      </c>
      <c r="D6" s="24">
        <v>53.562876831411977</v>
      </c>
      <c r="E6" s="24">
        <v>255.57580552007749</v>
      </c>
      <c r="F6" s="24">
        <v>46.515295156491845</v>
      </c>
      <c r="G6" s="24">
        <v>0</v>
      </c>
      <c r="H6" s="24">
        <f t="shared" ref="H6:H24" si="0">+SUM(C6:G6)</f>
        <v>2384.7071925145151</v>
      </c>
    </row>
    <row r="7" spans="2:8" x14ac:dyDescent="0.25">
      <c r="B7" s="26">
        <v>2007</v>
      </c>
      <c r="C7" s="24">
        <v>2613.5596918187234</v>
      </c>
      <c r="D7" s="24">
        <v>84.956766278378822</v>
      </c>
      <c r="E7" s="24">
        <v>297.20256157512131</v>
      </c>
      <c r="F7" s="24">
        <v>50.376718091746852</v>
      </c>
      <c r="G7" s="24">
        <v>0</v>
      </c>
      <c r="H7" s="24">
        <f t="shared" si="0"/>
        <v>3046.0957377639706</v>
      </c>
    </row>
    <row r="8" spans="2:8" x14ac:dyDescent="0.25">
      <c r="B8" s="26">
        <v>2008</v>
      </c>
      <c r="C8" s="24">
        <v>3300.6611126880334</v>
      </c>
      <c r="D8" s="24">
        <v>122.77791143922795</v>
      </c>
      <c r="E8" s="24">
        <v>351.50362231426209</v>
      </c>
      <c r="F8" s="24">
        <v>52.860026941180237</v>
      </c>
      <c r="G8" s="24">
        <v>0</v>
      </c>
      <c r="H8" s="24">
        <f t="shared" si="0"/>
        <v>3827.8026733827037</v>
      </c>
    </row>
    <row r="9" spans="2:8" x14ac:dyDescent="0.25">
      <c r="B9" s="26">
        <v>2009</v>
      </c>
      <c r="C9" s="24">
        <v>3965.7695946955755</v>
      </c>
      <c r="D9" s="24">
        <v>160.99245182057399</v>
      </c>
      <c r="E9" s="24">
        <v>403.36226961517428</v>
      </c>
      <c r="F9" s="24">
        <v>54.587293919552152</v>
      </c>
      <c r="G9" s="24">
        <v>0</v>
      </c>
      <c r="H9" s="24">
        <f t="shared" si="0"/>
        <v>4584.7116100508765</v>
      </c>
    </row>
    <row r="10" spans="2:8" x14ac:dyDescent="0.25">
      <c r="B10" s="26">
        <v>2010</v>
      </c>
      <c r="C10" s="24">
        <v>4728.0190117332713</v>
      </c>
      <c r="D10" s="24">
        <v>193.83176392506093</v>
      </c>
      <c r="E10" s="24">
        <v>450.35841893480045</v>
      </c>
      <c r="F10" s="24">
        <v>53.930766737355476</v>
      </c>
      <c r="G10" s="24">
        <v>0</v>
      </c>
      <c r="H10" s="24">
        <f t="shared" si="0"/>
        <v>5426.1399613304875</v>
      </c>
    </row>
    <row r="11" spans="2:8" x14ac:dyDescent="0.25">
      <c r="B11" s="26">
        <v>2011</v>
      </c>
      <c r="C11" s="24">
        <v>5401.6352585516415</v>
      </c>
      <c r="D11" s="24">
        <v>221.5303158654057</v>
      </c>
      <c r="E11" s="24">
        <v>511.18068714611934</v>
      </c>
      <c r="F11" s="24">
        <v>54.813753143444501</v>
      </c>
      <c r="G11" s="24">
        <v>0</v>
      </c>
      <c r="H11" s="24">
        <f t="shared" si="0"/>
        <v>6189.160014706611</v>
      </c>
    </row>
    <row r="12" spans="2:8" x14ac:dyDescent="0.25">
      <c r="B12" s="26">
        <v>2012</v>
      </c>
      <c r="C12" s="24">
        <v>5880.3317768781044</v>
      </c>
      <c r="D12" s="24">
        <v>246.22710461895844</v>
      </c>
      <c r="E12" s="24">
        <v>562.81622604449592</v>
      </c>
      <c r="F12" s="24">
        <v>54.513584376383911</v>
      </c>
      <c r="G12" s="24">
        <v>0</v>
      </c>
      <c r="H12" s="24">
        <f t="shared" si="0"/>
        <v>6743.8886919179422</v>
      </c>
    </row>
    <row r="13" spans="2:8" x14ac:dyDescent="0.25">
      <c r="B13" s="26">
        <v>2013</v>
      </c>
      <c r="C13" s="24">
        <v>6283.7464476555433</v>
      </c>
      <c r="D13" s="24">
        <v>269.3182469526547</v>
      </c>
      <c r="E13" s="24">
        <v>609.12526448130677</v>
      </c>
      <c r="F13" s="24">
        <v>55.265511077870393</v>
      </c>
      <c r="G13" s="24">
        <v>0</v>
      </c>
      <c r="H13" s="24">
        <f t="shared" si="0"/>
        <v>7217.4554701673751</v>
      </c>
    </row>
    <row r="14" spans="2:8" x14ac:dyDescent="0.25">
      <c r="B14" s="26">
        <v>2014</v>
      </c>
      <c r="C14" s="24">
        <v>6598.3053063861935</v>
      </c>
      <c r="D14" s="24">
        <v>291.46903292290955</v>
      </c>
      <c r="E14" s="24">
        <v>654.22059597541113</v>
      </c>
      <c r="F14" s="24">
        <v>56.403081206882078</v>
      </c>
      <c r="G14" s="24">
        <v>0</v>
      </c>
      <c r="H14" s="24">
        <f t="shared" si="0"/>
        <v>7600.3980164913964</v>
      </c>
    </row>
    <row r="15" spans="2:8" x14ac:dyDescent="0.25">
      <c r="B15" s="26">
        <v>2015</v>
      </c>
      <c r="C15" s="24">
        <v>6935.1493745515809</v>
      </c>
      <c r="D15" s="24">
        <v>312.50040432570552</v>
      </c>
      <c r="E15" s="24">
        <v>689.51491895981678</v>
      </c>
      <c r="F15" s="24">
        <v>61.906402522240448</v>
      </c>
      <c r="G15" s="24">
        <v>0</v>
      </c>
      <c r="H15" s="24">
        <f t="shared" si="0"/>
        <v>7999.0711003593442</v>
      </c>
    </row>
    <row r="16" spans="2:8" x14ac:dyDescent="0.25">
      <c r="B16" s="26">
        <v>2016</v>
      </c>
      <c r="C16" s="24">
        <v>7287.3868946013126</v>
      </c>
      <c r="D16" s="24">
        <v>331.30694075385713</v>
      </c>
      <c r="E16" s="24">
        <v>726.45585205803991</v>
      </c>
      <c r="F16" s="24">
        <v>68.323785988251743</v>
      </c>
      <c r="G16" s="24">
        <v>0</v>
      </c>
      <c r="H16" s="24">
        <f t="shared" si="0"/>
        <v>8413.4734734014619</v>
      </c>
    </row>
    <row r="17" spans="2:8" x14ac:dyDescent="0.25">
      <c r="B17" s="26">
        <v>2017</v>
      </c>
      <c r="C17" s="24">
        <v>7631.2917413780406</v>
      </c>
      <c r="D17" s="24">
        <v>349.3625168744752</v>
      </c>
      <c r="E17" s="24">
        <v>761.89134953490463</v>
      </c>
      <c r="F17" s="24">
        <v>81.333112669143105</v>
      </c>
      <c r="G17" s="24">
        <v>0</v>
      </c>
      <c r="H17" s="24">
        <f t="shared" si="0"/>
        <v>8823.8787204565633</v>
      </c>
    </row>
    <row r="18" spans="2:8" x14ac:dyDescent="0.25">
      <c r="B18" s="26">
        <v>2018</v>
      </c>
      <c r="C18" s="24">
        <v>8085.265256262659</v>
      </c>
      <c r="D18" s="24">
        <v>379.88577300699808</v>
      </c>
      <c r="E18" s="24">
        <v>815.55737123217978</v>
      </c>
      <c r="F18" s="24">
        <v>87.465259782074114</v>
      </c>
      <c r="G18" s="24">
        <v>0</v>
      </c>
      <c r="H18" s="24">
        <f t="shared" si="0"/>
        <v>9368.1736602839119</v>
      </c>
    </row>
    <row r="19" spans="2:8" x14ac:dyDescent="0.25">
      <c r="B19" s="26">
        <v>2019</v>
      </c>
      <c r="C19" s="24">
        <v>8551.6673910236805</v>
      </c>
      <c r="D19" s="24">
        <v>395.40227833659708</v>
      </c>
      <c r="E19" s="24">
        <v>859.04448482936891</v>
      </c>
      <c r="F19" s="24">
        <v>91.286768073583659</v>
      </c>
      <c r="G19" s="24">
        <v>0</v>
      </c>
      <c r="H19" s="24">
        <f t="shared" si="0"/>
        <v>9897.4009222632285</v>
      </c>
    </row>
    <row r="20" spans="2:8" x14ac:dyDescent="0.25">
      <c r="B20" s="26">
        <v>2020</v>
      </c>
      <c r="C20" s="24">
        <v>8865.1788500153416</v>
      </c>
      <c r="D20" s="24">
        <v>399.94978439246631</v>
      </c>
      <c r="E20" s="24">
        <v>878.98381823531611</v>
      </c>
      <c r="F20" s="24">
        <v>93.771228236075189</v>
      </c>
      <c r="G20" s="24">
        <v>0</v>
      </c>
      <c r="H20" s="24">
        <f t="shared" si="0"/>
        <v>10237.883680879198</v>
      </c>
    </row>
    <row r="21" spans="2:8" x14ac:dyDescent="0.25">
      <c r="B21" s="26">
        <v>2021</v>
      </c>
      <c r="C21" s="24">
        <v>9434.6175527094474</v>
      </c>
      <c r="D21" s="24">
        <v>402.4496352896619</v>
      </c>
      <c r="E21" s="24">
        <v>899.14751342137038</v>
      </c>
      <c r="F21" s="24">
        <v>97.973961859766405</v>
      </c>
      <c r="G21" s="24">
        <v>0</v>
      </c>
      <c r="H21" s="24">
        <f t="shared" si="0"/>
        <v>10834.188663280247</v>
      </c>
    </row>
    <row r="22" spans="2:8" x14ac:dyDescent="0.25">
      <c r="B22" s="26">
        <v>2022</v>
      </c>
      <c r="C22" s="24">
        <v>10187.357987820793</v>
      </c>
      <c r="D22" s="24">
        <v>411.54668017037142</v>
      </c>
      <c r="E22" s="24">
        <v>932.04264437231188</v>
      </c>
      <c r="F22" s="24">
        <v>105.40313454542635</v>
      </c>
      <c r="G22" s="24">
        <v>0</v>
      </c>
      <c r="H22" s="24">
        <f t="shared" si="0"/>
        <v>11636.350446908902</v>
      </c>
    </row>
    <row r="23" spans="2:8" x14ac:dyDescent="0.25">
      <c r="B23" s="26">
        <v>2023</v>
      </c>
      <c r="C23" s="24">
        <v>10906</v>
      </c>
      <c r="D23" s="24">
        <v>421.67686793075165</v>
      </c>
      <c r="E23" s="24">
        <v>982.79237309361611</v>
      </c>
      <c r="F23" s="24">
        <v>110.32145716058481</v>
      </c>
      <c r="G23" s="24">
        <v>0</v>
      </c>
      <c r="H23" s="24">
        <f t="shared" si="0"/>
        <v>12420.790698184952</v>
      </c>
    </row>
    <row r="24" spans="2:8" x14ac:dyDescent="0.25">
      <c r="B24" s="26">
        <v>2024</v>
      </c>
      <c r="C24" s="24">
        <v>11484.614838653908</v>
      </c>
      <c r="D24" s="24">
        <v>422.62312958190137</v>
      </c>
      <c r="E24" s="24">
        <v>996.53435411530529</v>
      </c>
      <c r="F24" s="24">
        <v>112.72279245909735</v>
      </c>
      <c r="G24" s="24">
        <v>0</v>
      </c>
      <c r="H24" s="24">
        <f t="shared" si="0"/>
        <v>13016.495114810212</v>
      </c>
    </row>
    <row r="25" spans="2:8" x14ac:dyDescent="0.25">
      <c r="B25" s="26">
        <v>2025</v>
      </c>
      <c r="C25" s="24">
        <v>11945.273694608115</v>
      </c>
      <c r="D25" s="24">
        <v>422.62149927567521</v>
      </c>
      <c r="E25" s="24">
        <v>1007.3519468358892</v>
      </c>
      <c r="F25" s="24">
        <v>114.94822247504629</v>
      </c>
      <c r="G25" s="24">
        <v>0</v>
      </c>
      <c r="H25" s="24">
        <v>13490.195363194727</v>
      </c>
    </row>
    <row r="28" spans="2:8" x14ac:dyDescent="0.25">
      <c r="B28" s="32"/>
      <c r="C28" s="59" t="s">
        <v>98</v>
      </c>
      <c r="D28" s="59"/>
      <c r="E28" s="59"/>
      <c r="F28" s="59"/>
      <c r="G28" s="59"/>
      <c r="H28" s="59"/>
    </row>
    <row r="29" spans="2:8" x14ac:dyDescent="0.25">
      <c r="B29" s="32" t="s">
        <v>90</v>
      </c>
      <c r="C29" s="33" t="s">
        <v>91</v>
      </c>
      <c r="D29" s="33" t="s">
        <v>99</v>
      </c>
      <c r="E29" s="33" t="s">
        <v>93</v>
      </c>
      <c r="F29" s="33" t="s">
        <v>94</v>
      </c>
      <c r="G29" s="33" t="s">
        <v>95</v>
      </c>
      <c r="H29" s="33" t="s">
        <v>96</v>
      </c>
    </row>
    <row r="30" spans="2:8" x14ac:dyDescent="0.25">
      <c r="B30">
        <v>2005</v>
      </c>
      <c r="C30" s="24">
        <v>215.65503185329709</v>
      </c>
      <c r="D30" s="24">
        <v>77.869987764957216</v>
      </c>
      <c r="E30" s="24">
        <v>758.25883110573329</v>
      </c>
      <c r="F30" s="24">
        <v>146.9496858796762</v>
      </c>
      <c r="G30" s="24">
        <v>0</v>
      </c>
      <c r="H30" s="24">
        <v>1198.7335366036639</v>
      </c>
    </row>
    <row r="31" spans="2:8" x14ac:dyDescent="0.25">
      <c r="B31">
        <v>2006</v>
      </c>
      <c r="C31" s="24">
        <v>319.84153155812794</v>
      </c>
      <c r="D31" s="24">
        <v>133.62431657150267</v>
      </c>
      <c r="E31" s="24">
        <v>894.5972843383513</v>
      </c>
      <c r="F31" s="24">
        <v>150.89714635871468</v>
      </c>
      <c r="G31" s="24">
        <v>0</v>
      </c>
      <c r="H31" s="24">
        <v>1498.9602788266966</v>
      </c>
    </row>
    <row r="32" spans="2:8" x14ac:dyDescent="0.25">
      <c r="B32">
        <v>2007</v>
      </c>
      <c r="C32" s="24">
        <v>411.97782713017597</v>
      </c>
      <c r="D32" s="24">
        <v>211.94324322430154</v>
      </c>
      <c r="E32" s="24">
        <v>1040.3042805341697</v>
      </c>
      <c r="F32" s="24">
        <v>163.42372927845668</v>
      </c>
      <c r="G32" s="24">
        <v>0</v>
      </c>
      <c r="H32" s="24">
        <v>1827.6490801671039</v>
      </c>
    </row>
    <row r="33" spans="2:8" x14ac:dyDescent="0.25">
      <c r="B33">
        <v>2008</v>
      </c>
      <c r="C33" s="24">
        <v>520.28625845236684</v>
      </c>
      <c r="D33" s="24">
        <v>306.29636562989731</v>
      </c>
      <c r="E33" s="24">
        <v>1230.3754078659431</v>
      </c>
      <c r="F33" s="24">
        <v>171.47966480775204</v>
      </c>
      <c r="G33" s="24">
        <v>0</v>
      </c>
      <c r="H33" s="24">
        <v>2228.4376967559597</v>
      </c>
    </row>
    <row r="34" spans="2:8" x14ac:dyDescent="0.25">
      <c r="B34">
        <v>2009</v>
      </c>
      <c r="C34" s="24">
        <v>625.1279225173032</v>
      </c>
      <c r="D34" s="24">
        <v>401.6308984934646</v>
      </c>
      <c r="E34" s="24">
        <v>1411.8973048641778</v>
      </c>
      <c r="F34" s="24">
        <v>177.08297565763681</v>
      </c>
      <c r="G34" s="24">
        <v>0</v>
      </c>
      <c r="H34" s="24">
        <v>2615.7391015325825</v>
      </c>
    </row>
    <row r="35" spans="2:8" x14ac:dyDescent="0.25">
      <c r="B35">
        <v>2010</v>
      </c>
      <c r="C35" s="24">
        <v>745.2820018541737</v>
      </c>
      <c r="D35" s="24">
        <v>483.5557482443823</v>
      </c>
      <c r="E35" s="24">
        <v>1576.3988994894737</v>
      </c>
      <c r="F35" s="24">
        <v>174.95317989976596</v>
      </c>
      <c r="G35" s="24">
        <v>28.215375773195877</v>
      </c>
      <c r="H35" s="24">
        <v>3008.4052052609914</v>
      </c>
    </row>
    <row r="36" spans="2:8" x14ac:dyDescent="0.25">
      <c r="B36">
        <v>2011</v>
      </c>
      <c r="C36" s="24">
        <v>851.46475274083866</v>
      </c>
      <c r="D36" s="24">
        <v>552.65584689476464</v>
      </c>
      <c r="E36" s="24">
        <v>1789.2963443724957</v>
      </c>
      <c r="F36" s="24">
        <v>177.81761682323622</v>
      </c>
      <c r="G36" s="24">
        <v>41.858334968121731</v>
      </c>
      <c r="H36" s="24">
        <v>3413.092895799457</v>
      </c>
    </row>
    <row r="37" spans="2:8" x14ac:dyDescent="0.25">
      <c r="B37">
        <v>2012</v>
      </c>
      <c r="C37" s="24">
        <v>926.92212687017434</v>
      </c>
      <c r="D37" s="24">
        <v>614.26739044742385</v>
      </c>
      <c r="E37" s="24">
        <v>1970.0372904093699</v>
      </c>
      <c r="F37" s="24">
        <v>176.84385947690373</v>
      </c>
      <c r="G37" s="24">
        <v>47.056902053830697</v>
      </c>
      <c r="H37" s="24">
        <v>3735.1275692577024</v>
      </c>
    </row>
    <row r="38" spans="2:8" x14ac:dyDescent="0.25">
      <c r="B38">
        <v>2013</v>
      </c>
      <c r="C38" s="24">
        <v>990.51275386812517</v>
      </c>
      <c r="D38" s="24">
        <v>671.87329766758921</v>
      </c>
      <c r="E38" s="24">
        <v>2132.1337765833591</v>
      </c>
      <c r="F38" s="24">
        <v>179.28313441095509</v>
      </c>
      <c r="G38" s="24">
        <v>53.884999481529746</v>
      </c>
      <c r="H38" s="24">
        <v>4027.6879620115578</v>
      </c>
    </row>
    <row r="39" spans="2:8" x14ac:dyDescent="0.25">
      <c r="B39">
        <v>2014</v>
      </c>
      <c r="C39" s="24">
        <v>1040.0969571790592</v>
      </c>
      <c r="D39" s="24">
        <v>727.13328017586821</v>
      </c>
      <c r="E39" s="24">
        <v>2289.9818992132391</v>
      </c>
      <c r="F39" s="24">
        <v>182.97344929927888</v>
      </c>
      <c r="G39" s="24">
        <v>62.81898210283714</v>
      </c>
      <c r="H39" s="24">
        <v>4303.0045679702826</v>
      </c>
    </row>
    <row r="40" spans="2:8" x14ac:dyDescent="0.25">
      <c r="B40">
        <v>2015</v>
      </c>
      <c r="C40" s="24">
        <v>1093.193998627497</v>
      </c>
      <c r="D40" s="24">
        <v>779.60063810187023</v>
      </c>
      <c r="E40" s="24">
        <v>2413.5233488045205</v>
      </c>
      <c r="F40" s="24">
        <v>200.8264045302158</v>
      </c>
      <c r="G40" s="24">
        <v>70.00443295853627</v>
      </c>
      <c r="H40" s="24">
        <v>4557.1488230226396</v>
      </c>
    </row>
    <row r="41" spans="2:8" x14ac:dyDescent="0.25">
      <c r="B41">
        <v>2016</v>
      </c>
      <c r="C41" s="24">
        <v>1148.717524108114</v>
      </c>
      <c r="D41" s="24">
        <v>826.51765835824062</v>
      </c>
      <c r="E41" s="24">
        <v>2542.8284618739935</v>
      </c>
      <c r="F41" s="24">
        <v>221.64460742139011</v>
      </c>
      <c r="G41" s="24">
        <v>75.220880945286311</v>
      </c>
      <c r="H41" s="24">
        <v>4814.9291327070241</v>
      </c>
    </row>
    <row r="42" spans="2:8" x14ac:dyDescent="0.25">
      <c r="B42">
        <v>2017</v>
      </c>
      <c r="C42" s="24">
        <v>1202.9275626077585</v>
      </c>
      <c r="D42" s="24">
        <v>871.56124380672463</v>
      </c>
      <c r="E42" s="24">
        <v>2666.8640674645671</v>
      </c>
      <c r="F42" s="24">
        <v>263.84729076652246</v>
      </c>
      <c r="G42" s="24">
        <v>77.752959524794662</v>
      </c>
      <c r="H42" s="24">
        <v>5082.9531241703671</v>
      </c>
    </row>
    <row r="43" spans="2:8" x14ac:dyDescent="0.25">
      <c r="B43">
        <v>2018</v>
      </c>
      <c r="C43" s="24">
        <v>1274.4878268796126</v>
      </c>
      <c r="D43" s="24">
        <v>947.70818514975144</v>
      </c>
      <c r="E43" s="24">
        <v>2854.7123544881756</v>
      </c>
      <c r="F43" s="24">
        <v>283.74017755311689</v>
      </c>
      <c r="G43" s="24">
        <v>80.531675004859594</v>
      </c>
      <c r="H43" s="24">
        <v>5441.180219075517</v>
      </c>
    </row>
    <row r="44" spans="2:8" x14ac:dyDescent="0.25">
      <c r="B44">
        <v>2019</v>
      </c>
      <c r="C44" s="24">
        <v>1348.0072259770216</v>
      </c>
      <c r="D44" s="24">
        <v>986.41750292541303</v>
      </c>
      <c r="E44" s="24">
        <v>3006.9311987116857</v>
      </c>
      <c r="F44" s="24">
        <v>296.13727605662876</v>
      </c>
      <c r="G44" s="24">
        <v>80.523307821978193</v>
      </c>
      <c r="H44" s="24">
        <v>5718.0165114927277</v>
      </c>
    </row>
    <row r="45" spans="2:8" x14ac:dyDescent="0.25">
      <c r="B45">
        <v>2020</v>
      </c>
      <c r="C45" s="24">
        <v>1397.4263267001106</v>
      </c>
      <c r="D45" s="24">
        <v>997.76225184046643</v>
      </c>
      <c r="E45" s="24">
        <v>3076.725260321622</v>
      </c>
      <c r="F45" s="24">
        <v>304.19694648332631</v>
      </c>
      <c r="G45" s="24">
        <v>83.212790538964086</v>
      </c>
      <c r="H45" s="24">
        <v>5859.3235758844903</v>
      </c>
    </row>
    <row r="46" spans="2:8" x14ac:dyDescent="0.25">
      <c r="B46">
        <v>2021</v>
      </c>
      <c r="C46" s="24">
        <v>1487.1874751269497</v>
      </c>
      <c r="D46" s="24">
        <v>1003.9986769062783</v>
      </c>
      <c r="E46" s="24">
        <v>3147.304660116386</v>
      </c>
      <c r="F46" s="24">
        <v>317.83075249460154</v>
      </c>
      <c r="G46" s="24">
        <v>81.815048736049519</v>
      </c>
      <c r="H46" s="24">
        <v>6038.1366133802649</v>
      </c>
    </row>
    <row r="47" spans="2:8" x14ac:dyDescent="0.25">
      <c r="B47">
        <v>2022</v>
      </c>
      <c r="C47" s="24">
        <v>1605.8426448638211</v>
      </c>
      <c r="D47" s="24">
        <v>1026.6932459233819</v>
      </c>
      <c r="E47" s="24">
        <v>3262.4481681522229</v>
      </c>
      <c r="F47" s="24">
        <v>341.93123286994188</v>
      </c>
      <c r="G47" s="24">
        <v>79.088634156972546</v>
      </c>
      <c r="H47" s="24">
        <v>6316.0039259663399</v>
      </c>
    </row>
    <row r="48" spans="2:8" x14ac:dyDescent="0.25">
      <c r="B48">
        <v>2023</v>
      </c>
      <c r="C48" s="24">
        <v>1719.167906116533</v>
      </c>
      <c r="D48" s="24">
        <v>1051.9652159201084</v>
      </c>
      <c r="E48" s="24">
        <v>3440.0884944835839</v>
      </c>
      <c r="F48" s="24">
        <v>357.88643308961338</v>
      </c>
      <c r="G48" s="24">
        <v>76.845161745224033</v>
      </c>
      <c r="H48" s="24">
        <v>6645.9532113550622</v>
      </c>
    </row>
    <row r="49" spans="2:8" x14ac:dyDescent="0.25">
      <c r="B49">
        <v>2024</v>
      </c>
      <c r="C49" s="24">
        <v>1810.3304399231538</v>
      </c>
      <c r="D49" s="24">
        <v>1054.3258726643437</v>
      </c>
      <c r="E49" s="24">
        <v>3488.1898352126714</v>
      </c>
      <c r="F49" s="24">
        <v>365.67644372540366</v>
      </c>
      <c r="G49" s="24">
        <v>75.479419427622133</v>
      </c>
      <c r="H49" s="24">
        <v>6794.0020109531933</v>
      </c>
    </row>
    <row r="50" spans="2:8" x14ac:dyDescent="0.25">
      <c r="B50">
        <v>2025</v>
      </c>
      <c r="C50" s="24">
        <v>1882.9445206798948</v>
      </c>
      <c r="D50" s="24">
        <v>1054.3218055087282</v>
      </c>
      <c r="E50" s="24">
        <v>3526.0548790153116</v>
      </c>
      <c r="F50" s="24">
        <v>372.89581184287874</v>
      </c>
      <c r="G50" s="24">
        <v>73.659237771254794</v>
      </c>
      <c r="H50" s="24">
        <f>+SUM(C50:G50)</f>
        <v>6909.8762548180684</v>
      </c>
    </row>
  </sheetData>
  <mergeCells count="2">
    <mergeCell ref="C3:H3"/>
    <mergeCell ref="C28:H28"/>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AE4C-E68E-4EF1-A294-716849345597}">
  <dimension ref="A2:Y92"/>
  <sheetViews>
    <sheetView topLeftCell="A16" zoomScale="90" zoomScaleNormal="90" workbookViewId="0">
      <selection activeCell="M40" sqref="M40"/>
    </sheetView>
  </sheetViews>
  <sheetFormatPr baseColWidth="10" defaultColWidth="11.42578125" defaultRowHeight="15" x14ac:dyDescent="0.25"/>
  <sheetData>
    <row r="2" spans="1:6" x14ac:dyDescent="0.25">
      <c r="D2" t="s">
        <v>100</v>
      </c>
      <c r="E2" s="11">
        <v>3733.6371281813235</v>
      </c>
    </row>
    <row r="3" spans="1:6" x14ac:dyDescent="0.25">
      <c r="D3" t="s">
        <v>101</v>
      </c>
      <c r="E3">
        <v>0.8</v>
      </c>
    </row>
    <row r="4" spans="1:6" x14ac:dyDescent="0.25">
      <c r="A4" t="s">
        <v>174</v>
      </c>
      <c r="C4" t="s">
        <v>102</v>
      </c>
      <c r="D4" t="s">
        <v>103</v>
      </c>
      <c r="E4" t="s">
        <v>104</v>
      </c>
      <c r="F4" t="s">
        <v>105</v>
      </c>
    </row>
    <row r="5" spans="1:6" x14ac:dyDescent="0.25">
      <c r="B5" s="2" t="s">
        <v>18</v>
      </c>
      <c r="C5" s="11">
        <v>427</v>
      </c>
      <c r="D5" s="11">
        <v>3599.3522683948268</v>
      </c>
      <c r="E5" s="11">
        <f t="shared" ref="E5:E9" si="0">+C5*$E$3*$E$2/D5+C5*(1-$E$3)</f>
        <v>439.74443418774467</v>
      </c>
    </row>
    <row r="6" spans="1:6" x14ac:dyDescent="0.25">
      <c r="B6" s="2" t="s">
        <v>19</v>
      </c>
      <c r="C6" s="11">
        <v>502</v>
      </c>
      <c r="D6" s="11">
        <v>3502.2232415107992</v>
      </c>
      <c r="E6" s="11">
        <f t="shared" si="0"/>
        <v>528.53623440828733</v>
      </c>
      <c r="F6" s="11">
        <f>+E6-E5</f>
        <v>88.791800220542655</v>
      </c>
    </row>
    <row r="7" spans="1:6" x14ac:dyDescent="0.25">
      <c r="B7" s="2" t="s">
        <v>20</v>
      </c>
      <c r="C7" s="11">
        <v>568</v>
      </c>
      <c r="D7" s="11">
        <v>3645.2305654142779</v>
      </c>
      <c r="E7" s="11">
        <f t="shared" si="0"/>
        <v>579.0204118506233</v>
      </c>
      <c r="F7" s="11">
        <f t="shared" ref="F7:F24" si="1">+E7-E6</f>
        <v>50.484177442335977</v>
      </c>
    </row>
    <row r="8" spans="1:6" x14ac:dyDescent="0.25">
      <c r="B8" s="2" t="s">
        <v>21</v>
      </c>
      <c r="C8" s="11">
        <v>718</v>
      </c>
      <c r="D8" s="11">
        <v>3590.6813366036395</v>
      </c>
      <c r="E8" s="11">
        <f t="shared" si="0"/>
        <v>740.86858648389307</v>
      </c>
      <c r="F8" s="11">
        <f t="shared" si="1"/>
        <v>161.84817463326976</v>
      </c>
    </row>
    <row r="9" spans="1:6" x14ac:dyDescent="0.25">
      <c r="B9" s="2" t="s">
        <v>22</v>
      </c>
      <c r="C9" s="11">
        <v>751</v>
      </c>
      <c r="D9" s="11">
        <v>3763.7767636706722</v>
      </c>
      <c r="E9" s="11">
        <f t="shared" si="0"/>
        <v>746.18890355645306</v>
      </c>
      <c r="F9" s="11">
        <f t="shared" si="1"/>
        <v>5.3203170725599875</v>
      </c>
    </row>
    <row r="10" spans="1:6" x14ac:dyDescent="0.25">
      <c r="B10" s="2" t="s">
        <v>23</v>
      </c>
      <c r="C10" s="11">
        <v>1084</v>
      </c>
      <c r="D10" s="11">
        <v>4439.451561062031</v>
      </c>
      <c r="E10" s="11">
        <f>+C10*$E$3*$E$2/D10+C10*(1-$E$3)</f>
        <v>946.12660105075599</v>
      </c>
      <c r="F10" s="11">
        <f t="shared" si="1"/>
        <v>199.93769749430294</v>
      </c>
    </row>
    <row r="11" spans="1:6" x14ac:dyDescent="0.25">
      <c r="B11" s="2" t="s">
        <v>24</v>
      </c>
      <c r="C11" s="11">
        <v>788</v>
      </c>
      <c r="D11" s="11">
        <v>3508.333382442755</v>
      </c>
      <c r="E11" s="11">
        <f t="shared" ref="E11:E24" si="2">+C11*$E$3*$E$2/D11+C11*(1-$E$3)</f>
        <v>828.48403211176606</v>
      </c>
      <c r="F11" s="11">
        <f>+E11-E10</f>
        <v>-117.64256893898994</v>
      </c>
    </row>
    <row r="12" spans="1:6" x14ac:dyDescent="0.25">
      <c r="B12" s="2" t="s">
        <v>25</v>
      </c>
      <c r="C12" s="11">
        <v>950</v>
      </c>
      <c r="D12" s="11">
        <v>3877.3852560335513</v>
      </c>
      <c r="E12" s="11">
        <f t="shared" si="2"/>
        <v>921.82416243067598</v>
      </c>
      <c r="F12" s="11">
        <f t="shared" si="1"/>
        <v>93.340130318909928</v>
      </c>
    </row>
    <row r="13" spans="1:6" x14ac:dyDescent="0.25">
      <c r="B13" s="2" t="s">
        <v>26</v>
      </c>
      <c r="C13" s="11">
        <v>1083</v>
      </c>
      <c r="D13" s="11">
        <v>3785.0952681451718</v>
      </c>
      <c r="E13" s="11">
        <f t="shared" si="2"/>
        <v>1071.2213446937822</v>
      </c>
      <c r="F13" s="11">
        <f t="shared" si="1"/>
        <v>149.39718226310617</v>
      </c>
    </row>
    <row r="14" spans="1:6" x14ac:dyDescent="0.25">
      <c r="B14" s="2" t="s">
        <v>27</v>
      </c>
      <c r="C14" s="11">
        <v>1000</v>
      </c>
      <c r="D14" s="11">
        <v>3299.1392919553045</v>
      </c>
      <c r="E14" s="11">
        <f t="shared" si="2"/>
        <v>1105.3602889179024</v>
      </c>
      <c r="F14" s="11">
        <f t="shared" si="1"/>
        <v>34.138944224120223</v>
      </c>
    </row>
    <row r="15" spans="1:6" x14ac:dyDescent="0.25">
      <c r="B15" s="2" t="s">
        <v>28</v>
      </c>
      <c r="C15" s="11">
        <v>1037</v>
      </c>
      <c r="D15" s="11">
        <v>3440.436561196113</v>
      </c>
      <c r="E15" s="11">
        <f t="shared" si="2"/>
        <v>1107.7000946084486</v>
      </c>
      <c r="F15" s="11">
        <f t="shared" si="1"/>
        <v>2.3398056905461999</v>
      </c>
    </row>
    <row r="16" spans="1:6" x14ac:dyDescent="0.25">
      <c r="B16" s="2" t="s">
        <v>29</v>
      </c>
      <c r="C16" s="11">
        <v>1212</v>
      </c>
      <c r="D16" s="11">
        <v>3601.1612436361056</v>
      </c>
      <c r="E16" s="11">
        <f t="shared" si="2"/>
        <v>1247.6686660121188</v>
      </c>
      <c r="F16" s="11">
        <f t="shared" si="1"/>
        <v>139.96857140367024</v>
      </c>
    </row>
    <row r="17" spans="2:10" x14ac:dyDescent="0.25">
      <c r="B17" s="2" t="s">
        <v>30</v>
      </c>
      <c r="C17" s="11">
        <v>1365</v>
      </c>
      <c r="D17" s="11">
        <v>3632.4383258749904</v>
      </c>
      <c r="E17" s="11">
        <f t="shared" si="2"/>
        <v>1395.4228405837823</v>
      </c>
      <c r="F17" s="11">
        <f t="shared" si="1"/>
        <v>147.7541745716635</v>
      </c>
    </row>
    <row r="18" spans="2:10" x14ac:dyDescent="0.25">
      <c r="B18" s="2" t="s">
        <v>31</v>
      </c>
      <c r="C18" s="11">
        <v>1408</v>
      </c>
      <c r="D18" s="11">
        <v>3623.6719894123803</v>
      </c>
      <c r="E18" s="11">
        <f t="shared" si="2"/>
        <v>1442.1821038634966</v>
      </c>
      <c r="F18" s="11">
        <f t="shared" si="1"/>
        <v>46.759263279714332</v>
      </c>
    </row>
    <row r="19" spans="2:10" x14ac:dyDescent="0.25">
      <c r="B19" s="2" t="s">
        <v>32</v>
      </c>
      <c r="C19" s="11">
        <v>1548</v>
      </c>
      <c r="D19" s="11">
        <v>3618.5232394093928</v>
      </c>
      <c r="E19" s="11">
        <f t="shared" si="2"/>
        <v>1587.3964693393614</v>
      </c>
      <c r="F19" s="11">
        <f t="shared" si="1"/>
        <v>145.21436547586472</v>
      </c>
    </row>
    <row r="20" spans="2:10" x14ac:dyDescent="0.25">
      <c r="B20" s="2" t="s">
        <v>33</v>
      </c>
      <c r="C20" s="11">
        <v>1467</v>
      </c>
      <c r="D20" s="11">
        <v>3244.3018655413862</v>
      </c>
      <c r="E20" s="11">
        <f t="shared" si="2"/>
        <v>1644.0130795576872</v>
      </c>
      <c r="F20" s="11">
        <f t="shared" si="1"/>
        <v>56.616610218325832</v>
      </c>
    </row>
    <row r="21" spans="2:10" x14ac:dyDescent="0.25">
      <c r="B21" s="2" t="s">
        <v>34</v>
      </c>
      <c r="C21" s="11">
        <v>1716</v>
      </c>
      <c r="D21" s="11">
        <v>3690.5568799815028</v>
      </c>
      <c r="E21" s="11">
        <f t="shared" si="2"/>
        <v>1732.0248349102835</v>
      </c>
      <c r="F21" s="11">
        <f t="shared" si="1"/>
        <v>88.01175535259631</v>
      </c>
    </row>
    <row r="22" spans="2:10" x14ac:dyDescent="0.25">
      <c r="B22" s="2" t="s">
        <v>35</v>
      </c>
      <c r="C22" s="11">
        <v>1652</v>
      </c>
      <c r="D22" s="11">
        <v>3453.6672353877816</v>
      </c>
      <c r="E22" s="11">
        <f t="shared" si="2"/>
        <v>1759.1348757994631</v>
      </c>
      <c r="F22" s="11">
        <f t="shared" si="1"/>
        <v>27.110040889179572</v>
      </c>
    </row>
    <row r="23" spans="2:10" x14ac:dyDescent="0.25">
      <c r="B23" s="2" t="s">
        <v>36</v>
      </c>
      <c r="C23" s="11">
        <v>1925</v>
      </c>
      <c r="D23" s="11">
        <v>3729.8913480357014</v>
      </c>
      <c r="E23" s="11">
        <f t="shared" si="2"/>
        <v>1926.5465601772275</v>
      </c>
      <c r="F23" s="11">
        <f t="shared" si="1"/>
        <v>167.41168437776446</v>
      </c>
    </row>
    <row r="24" spans="2:10" x14ac:dyDescent="0.25">
      <c r="B24" s="35">
        <v>2024</v>
      </c>
      <c r="C24" s="11">
        <v>1855</v>
      </c>
      <c r="D24" s="11">
        <v>3435</v>
      </c>
      <c r="E24" s="11">
        <f t="shared" si="2"/>
        <v>1984.0181945330669</v>
      </c>
      <c r="F24" s="11">
        <f t="shared" si="1"/>
        <v>57.471634355839342</v>
      </c>
    </row>
    <row r="25" spans="2:10" x14ac:dyDescent="0.25">
      <c r="J25" s="11"/>
    </row>
    <row r="27" spans="2:10" x14ac:dyDescent="0.25">
      <c r="C27" t="s">
        <v>106</v>
      </c>
      <c r="D27" t="s">
        <v>107</v>
      </c>
      <c r="H27" t="s">
        <v>108</v>
      </c>
      <c r="I27" t="s">
        <v>78</v>
      </c>
      <c r="J27" t="s">
        <v>79</v>
      </c>
    </row>
    <row r="28" spans="2:10" x14ac:dyDescent="0.25">
      <c r="B28" s="2" t="s">
        <v>18</v>
      </c>
      <c r="G28" s="2" t="s">
        <v>18</v>
      </c>
      <c r="H28" s="11">
        <f t="shared" ref="H28:H47" si="3">+E5</f>
        <v>439.74443418774467</v>
      </c>
    </row>
    <row r="29" spans="2:10" x14ac:dyDescent="0.25">
      <c r="B29" s="2" t="s">
        <v>19</v>
      </c>
      <c r="C29" s="11">
        <v>463172</v>
      </c>
      <c r="G29" s="2" t="s">
        <v>19</v>
      </c>
      <c r="H29" s="11">
        <f t="shared" si="3"/>
        <v>528.53623440828733</v>
      </c>
    </row>
    <row r="30" spans="2:10" x14ac:dyDescent="0.25">
      <c r="B30" s="2" t="s">
        <v>20</v>
      </c>
      <c r="C30" s="11">
        <v>478293</v>
      </c>
      <c r="D30" s="11">
        <f>+C30-C29</f>
        <v>15121</v>
      </c>
      <c r="G30" s="2" t="s">
        <v>20</v>
      </c>
      <c r="H30" s="11">
        <f t="shared" si="3"/>
        <v>579.0204118506233</v>
      </c>
    </row>
    <row r="31" spans="2:10" x14ac:dyDescent="0.25">
      <c r="B31" s="2" t="s">
        <v>21</v>
      </c>
      <c r="C31" s="11">
        <v>498592</v>
      </c>
      <c r="D31" s="11">
        <f t="shared" ref="D31:D47" si="4">+C31-C30</f>
        <v>20299</v>
      </c>
      <c r="G31" s="2" t="s">
        <v>21</v>
      </c>
      <c r="H31" s="11">
        <f t="shared" si="3"/>
        <v>740.86858648389307</v>
      </c>
    </row>
    <row r="32" spans="2:10" x14ac:dyDescent="0.25">
      <c r="B32" s="2" t="s">
        <v>22</v>
      </c>
      <c r="C32" s="11">
        <v>514481</v>
      </c>
      <c r="D32" s="11">
        <f t="shared" si="4"/>
        <v>15889</v>
      </c>
      <c r="G32" s="2" t="s">
        <v>22</v>
      </c>
      <c r="H32" s="11">
        <f t="shared" si="3"/>
        <v>746.18890355645306</v>
      </c>
    </row>
    <row r="33" spans="2:10" x14ac:dyDescent="0.25">
      <c r="B33" s="2" t="s">
        <v>23</v>
      </c>
      <c r="C33" s="11">
        <v>522992</v>
      </c>
      <c r="D33" s="11">
        <f t="shared" si="4"/>
        <v>8511</v>
      </c>
      <c r="G33" s="2" t="s">
        <v>23</v>
      </c>
      <c r="H33" s="11">
        <f t="shared" si="3"/>
        <v>946.12660105075599</v>
      </c>
    </row>
    <row r="34" spans="2:10" x14ac:dyDescent="0.25">
      <c r="B34" s="2" t="s">
        <v>24</v>
      </c>
      <c r="C34" s="11">
        <v>529453</v>
      </c>
      <c r="D34" s="11">
        <f t="shared" si="4"/>
        <v>6461</v>
      </c>
      <c r="G34" s="2" t="s">
        <v>24</v>
      </c>
      <c r="H34" s="11">
        <f t="shared" si="3"/>
        <v>828.48403211176606</v>
      </c>
    </row>
    <row r="35" spans="2:10" x14ac:dyDescent="0.25">
      <c r="B35" s="2" t="s">
        <v>25</v>
      </c>
      <c r="C35" s="11">
        <v>535509</v>
      </c>
      <c r="D35" s="11">
        <f t="shared" si="4"/>
        <v>6056</v>
      </c>
      <c r="G35" s="2" t="s">
        <v>25</v>
      </c>
      <c r="H35" s="11">
        <f t="shared" si="3"/>
        <v>921.82416243067598</v>
      </c>
    </row>
    <row r="36" spans="2:10" x14ac:dyDescent="0.25">
      <c r="B36" s="2" t="s">
        <v>26</v>
      </c>
      <c r="C36" s="11">
        <v>548358</v>
      </c>
      <c r="D36" s="11">
        <f t="shared" si="4"/>
        <v>12849</v>
      </c>
      <c r="G36" s="2" t="s">
        <v>26</v>
      </c>
      <c r="H36" s="11">
        <f t="shared" si="3"/>
        <v>1071.2213446937822</v>
      </c>
    </row>
    <row r="37" spans="2:10" x14ac:dyDescent="0.25">
      <c r="B37" s="2" t="s">
        <v>27</v>
      </c>
      <c r="C37" s="11">
        <v>560173</v>
      </c>
      <c r="D37" s="11">
        <f t="shared" si="4"/>
        <v>11815</v>
      </c>
      <c r="G37" s="2" t="s">
        <v>27</v>
      </c>
      <c r="H37" s="11">
        <f t="shared" si="3"/>
        <v>1105.3602889179024</v>
      </c>
      <c r="I37" s="11">
        <f>+AVERAGE($H$38:$H$47)</f>
        <v>1582.6107719384938</v>
      </c>
    </row>
    <row r="38" spans="2:10" x14ac:dyDescent="0.25">
      <c r="B38" s="2" t="s">
        <v>28</v>
      </c>
      <c r="C38" s="11">
        <v>572914</v>
      </c>
      <c r="D38" s="11">
        <f t="shared" si="4"/>
        <v>12741</v>
      </c>
      <c r="G38" s="2" t="s">
        <v>28</v>
      </c>
      <c r="H38" s="11">
        <f t="shared" si="3"/>
        <v>1107.7000946084486</v>
      </c>
      <c r="I38" s="11">
        <f t="shared" ref="I38:I47" si="5">+AVERAGE($H$38:$H$47)</f>
        <v>1582.6107719384938</v>
      </c>
    </row>
    <row r="39" spans="2:10" x14ac:dyDescent="0.25">
      <c r="B39" s="2" t="s">
        <v>29</v>
      </c>
      <c r="C39" s="11">
        <v>585679</v>
      </c>
      <c r="D39" s="11">
        <f t="shared" si="4"/>
        <v>12765</v>
      </c>
      <c r="G39" s="2" t="s">
        <v>29</v>
      </c>
      <c r="H39" s="11">
        <f t="shared" si="3"/>
        <v>1247.6686660121188</v>
      </c>
      <c r="I39" s="11">
        <f t="shared" si="5"/>
        <v>1582.6107719384938</v>
      </c>
    </row>
    <row r="40" spans="2:10" x14ac:dyDescent="0.25">
      <c r="B40" s="2" t="s">
        <v>30</v>
      </c>
      <c r="C40" s="11">
        <v>598020</v>
      </c>
      <c r="D40" s="11">
        <f t="shared" si="4"/>
        <v>12341</v>
      </c>
      <c r="G40" s="2" t="s">
        <v>30</v>
      </c>
      <c r="H40" s="11">
        <f t="shared" si="3"/>
        <v>1395.4228405837823</v>
      </c>
      <c r="I40" s="11">
        <f t="shared" si="5"/>
        <v>1582.6107719384938</v>
      </c>
    </row>
    <row r="41" spans="2:10" x14ac:dyDescent="0.25">
      <c r="B41" s="2" t="s">
        <v>31</v>
      </c>
      <c r="C41" s="11">
        <v>610742</v>
      </c>
      <c r="D41" s="11">
        <f t="shared" si="4"/>
        <v>12722</v>
      </c>
      <c r="G41" s="2" t="s">
        <v>31</v>
      </c>
      <c r="H41" s="11">
        <f t="shared" si="3"/>
        <v>1442.1821038634966</v>
      </c>
      <c r="I41" s="11">
        <f t="shared" si="5"/>
        <v>1582.6107719384938</v>
      </c>
    </row>
    <row r="42" spans="2:10" x14ac:dyDescent="0.25">
      <c r="B42" s="2" t="s">
        <v>32</v>
      </c>
      <c r="C42" s="11">
        <v>628145</v>
      </c>
      <c r="D42" s="11">
        <f t="shared" si="4"/>
        <v>17403</v>
      </c>
      <c r="G42" s="2" t="s">
        <v>32</v>
      </c>
      <c r="H42" s="11">
        <f t="shared" si="3"/>
        <v>1587.3964693393614</v>
      </c>
      <c r="I42" s="11">
        <f t="shared" si="5"/>
        <v>1582.6107719384938</v>
      </c>
      <c r="J42" s="11">
        <f>+AVERAGE($H$43:$H$47)</f>
        <v>1809.1475089955456</v>
      </c>
    </row>
    <row r="43" spans="2:10" x14ac:dyDescent="0.25">
      <c r="B43" s="2" t="s">
        <v>33</v>
      </c>
      <c r="C43" s="11">
        <v>643631</v>
      </c>
      <c r="D43" s="11">
        <f t="shared" si="4"/>
        <v>15486</v>
      </c>
      <c r="G43" s="2" t="s">
        <v>33</v>
      </c>
      <c r="H43" s="11">
        <f t="shared" si="3"/>
        <v>1644.0130795576872</v>
      </c>
      <c r="I43" s="11">
        <f t="shared" si="5"/>
        <v>1582.6107719384938</v>
      </c>
      <c r="J43" s="11">
        <f t="shared" ref="J43:J47" si="6">+AVERAGE($H$43:$H$47)</f>
        <v>1809.1475089955456</v>
      </c>
    </row>
    <row r="44" spans="2:10" x14ac:dyDescent="0.25">
      <c r="B44" s="2" t="s">
        <v>34</v>
      </c>
      <c r="C44" s="11">
        <v>655867</v>
      </c>
      <c r="D44" s="11">
        <f t="shared" si="4"/>
        <v>12236</v>
      </c>
      <c r="G44" s="2" t="s">
        <v>34</v>
      </c>
      <c r="H44" s="11">
        <f t="shared" si="3"/>
        <v>1732.0248349102835</v>
      </c>
      <c r="I44" s="11">
        <f t="shared" si="5"/>
        <v>1582.6107719384938</v>
      </c>
      <c r="J44" s="11">
        <f t="shared" si="6"/>
        <v>1809.1475089955456</v>
      </c>
    </row>
    <row r="45" spans="2:10" x14ac:dyDescent="0.25">
      <c r="B45" s="2" t="s">
        <v>35</v>
      </c>
      <c r="C45" s="11">
        <v>671124</v>
      </c>
      <c r="D45" s="11">
        <f t="shared" si="4"/>
        <v>15257</v>
      </c>
      <c r="G45" s="2" t="s">
        <v>35</v>
      </c>
      <c r="H45" s="11">
        <f t="shared" si="3"/>
        <v>1759.1348757994631</v>
      </c>
      <c r="I45" s="11">
        <f t="shared" si="5"/>
        <v>1582.6107719384938</v>
      </c>
      <c r="J45" s="11">
        <f t="shared" si="6"/>
        <v>1809.1475089955456</v>
      </c>
    </row>
    <row r="46" spans="2:10" x14ac:dyDescent="0.25">
      <c r="B46" s="2" t="s">
        <v>36</v>
      </c>
      <c r="C46" s="11">
        <v>686238</v>
      </c>
      <c r="D46" s="11">
        <f t="shared" si="4"/>
        <v>15114</v>
      </c>
      <c r="G46" s="2" t="s">
        <v>36</v>
      </c>
      <c r="H46" s="11">
        <f t="shared" si="3"/>
        <v>1926.5465601772275</v>
      </c>
      <c r="I46" s="11">
        <f t="shared" si="5"/>
        <v>1582.6107719384938</v>
      </c>
      <c r="J46" s="11">
        <f t="shared" si="6"/>
        <v>1809.1475089955456</v>
      </c>
    </row>
    <row r="47" spans="2:10" x14ac:dyDescent="0.25">
      <c r="B47" s="35">
        <v>2024</v>
      </c>
      <c r="C47" s="11">
        <v>702866</v>
      </c>
      <c r="D47" s="11">
        <f t="shared" si="4"/>
        <v>16628</v>
      </c>
      <c r="G47" s="35">
        <v>2024</v>
      </c>
      <c r="H47" s="11">
        <f t="shared" si="3"/>
        <v>1984.0181945330669</v>
      </c>
      <c r="I47" s="11">
        <f t="shared" si="5"/>
        <v>1582.6107719384938</v>
      </c>
      <c r="J47" s="11">
        <f t="shared" si="6"/>
        <v>1809.1475089955456</v>
      </c>
    </row>
    <row r="48" spans="2:10" x14ac:dyDescent="0.25">
      <c r="H48" s="34"/>
    </row>
    <row r="51" spans="1:25" x14ac:dyDescent="0.25">
      <c r="D51" t="s">
        <v>100</v>
      </c>
      <c r="E51" s="11">
        <v>3733.6371281813235</v>
      </c>
    </row>
    <row r="52" spans="1:25" x14ac:dyDescent="0.25">
      <c r="D52" t="s">
        <v>101</v>
      </c>
      <c r="E52">
        <v>0.85</v>
      </c>
    </row>
    <row r="53" spans="1:25" ht="18.75" x14ac:dyDescent="0.3">
      <c r="B53" s="1" t="s">
        <v>109</v>
      </c>
      <c r="D53" t="s">
        <v>103</v>
      </c>
      <c r="E53" t="s">
        <v>104</v>
      </c>
      <c r="F53" t="s">
        <v>156</v>
      </c>
    </row>
    <row r="54" spans="1:25" x14ac:dyDescent="0.25">
      <c r="A54" t="s">
        <v>110</v>
      </c>
      <c r="B54" s="2" t="s">
        <v>18</v>
      </c>
      <c r="C54" s="11">
        <v>1670</v>
      </c>
      <c r="D54" s="11">
        <v>3599.3522683948268</v>
      </c>
      <c r="E54" s="11">
        <f>+C54*$E$52*$E$51/D54+C54*(1-$E$3)</f>
        <v>1806.4587948755959</v>
      </c>
      <c r="G54" s="19"/>
      <c r="H54" s="19"/>
      <c r="I54" s="19"/>
      <c r="J54" s="19"/>
      <c r="K54" s="19"/>
      <c r="L54" s="19"/>
      <c r="M54" s="19"/>
      <c r="N54" s="19"/>
      <c r="O54" s="19"/>
      <c r="P54" s="19"/>
      <c r="Q54" s="19"/>
      <c r="R54" s="19"/>
      <c r="S54" s="19"/>
      <c r="T54" s="19"/>
      <c r="U54" s="19"/>
    </row>
    <row r="55" spans="1:25" x14ac:dyDescent="0.25">
      <c r="B55" s="2" t="s">
        <v>19</v>
      </c>
      <c r="C55" s="11">
        <v>1749</v>
      </c>
      <c r="D55" s="11">
        <v>3502.2232415107992</v>
      </c>
      <c r="E55" s="11">
        <f>+C55*$E$52*$E$51/D55+C55*(1-$E$3)</f>
        <v>1934.6823029957179</v>
      </c>
      <c r="G55" s="2"/>
      <c r="H55" s="2"/>
      <c r="I55" s="2"/>
      <c r="J55" s="2"/>
      <c r="K55" s="2"/>
      <c r="L55" s="2"/>
      <c r="M55" s="2"/>
      <c r="N55" s="2"/>
      <c r="O55" s="2"/>
      <c r="P55" s="2"/>
      <c r="Q55" s="2"/>
      <c r="R55" s="2"/>
      <c r="S55" s="2"/>
      <c r="T55" s="2"/>
      <c r="U55" s="2"/>
      <c r="V55" s="2"/>
      <c r="W55" s="2"/>
      <c r="X55" s="2"/>
      <c r="Y55" s="2"/>
    </row>
    <row r="56" spans="1:25" x14ac:dyDescent="0.25">
      <c r="B56" s="2" t="s">
        <v>20</v>
      </c>
      <c r="C56" s="11">
        <v>1922</v>
      </c>
      <c r="D56" s="11">
        <v>3645.2305654142779</v>
      </c>
      <c r="E56" s="11">
        <f t="shared" ref="E56:E73" si="7">+C56*$E$52*$E$51/D56+C56*(1-$E$3)</f>
        <v>2057.7215819550247</v>
      </c>
      <c r="F56" s="11"/>
      <c r="W56" s="19"/>
      <c r="X56" s="19"/>
      <c r="Y56" s="19"/>
    </row>
    <row r="57" spans="1:25" x14ac:dyDescent="0.25">
      <c r="B57" s="2" t="s">
        <v>21</v>
      </c>
      <c r="C57" s="11">
        <v>1930</v>
      </c>
      <c r="D57" s="11">
        <v>3590.6813366036395</v>
      </c>
      <c r="E57" s="11">
        <f t="shared" si="7"/>
        <v>2091.8132244547819</v>
      </c>
      <c r="F57" s="11"/>
      <c r="G57" s="19"/>
      <c r="H57" s="19"/>
      <c r="I57" s="19"/>
      <c r="J57" s="19"/>
      <c r="K57" s="19"/>
      <c r="L57" s="19"/>
      <c r="M57" s="19"/>
      <c r="N57" s="19"/>
      <c r="O57" s="19"/>
      <c r="P57" s="27"/>
      <c r="Q57" s="27"/>
      <c r="R57" s="27"/>
      <c r="S57" s="27"/>
      <c r="T57" s="27"/>
      <c r="U57" s="27"/>
      <c r="V57" s="27"/>
      <c r="W57" s="27"/>
      <c r="X57" s="19"/>
      <c r="Y57" s="19"/>
    </row>
    <row r="58" spans="1:25" x14ac:dyDescent="0.25">
      <c r="B58" s="2" t="s">
        <v>22</v>
      </c>
      <c r="C58" s="11">
        <v>2232</v>
      </c>
      <c r="D58" s="11">
        <v>3763.7767636706722</v>
      </c>
      <c r="E58" s="11">
        <f t="shared" si="7"/>
        <v>2328.4075696193454</v>
      </c>
      <c r="F58" s="11"/>
      <c r="G58" s="19"/>
      <c r="H58" s="19"/>
      <c r="I58" s="19"/>
      <c r="J58" s="19"/>
      <c r="K58" s="19"/>
      <c r="L58" s="19"/>
      <c r="M58" s="19"/>
      <c r="N58" s="19"/>
      <c r="O58" s="19"/>
      <c r="P58" s="27"/>
      <c r="Q58" s="27"/>
      <c r="R58" s="27"/>
      <c r="S58" s="27"/>
      <c r="T58" s="27"/>
      <c r="U58" s="27"/>
      <c r="V58" s="27"/>
      <c r="W58" s="27"/>
      <c r="X58" s="19"/>
      <c r="Y58" s="19"/>
    </row>
    <row r="59" spans="1:25" x14ac:dyDescent="0.25">
      <c r="B59" s="2" t="s">
        <v>23</v>
      </c>
      <c r="C59" s="11">
        <v>2804</v>
      </c>
      <c r="D59" s="11">
        <v>4439.451561062031</v>
      </c>
      <c r="E59" s="11">
        <f t="shared" si="7"/>
        <v>2565.2707344838236</v>
      </c>
      <c r="F59" s="11">
        <v>4858199</v>
      </c>
      <c r="G59" s="19">
        <f>+E59/F59*1000000</f>
        <v>528.02915946502469</v>
      </c>
      <c r="H59" s="19"/>
      <c r="I59" s="19"/>
      <c r="J59" s="19"/>
      <c r="K59" s="19"/>
      <c r="L59" s="19"/>
      <c r="M59" s="19"/>
      <c r="N59" s="19"/>
      <c r="O59" s="19"/>
      <c r="P59" s="27"/>
      <c r="Q59" s="27"/>
      <c r="R59" s="27"/>
      <c r="S59" s="27"/>
      <c r="T59" s="27"/>
      <c r="U59" s="27"/>
      <c r="V59" s="27"/>
      <c r="W59" s="27"/>
      <c r="X59" s="19"/>
      <c r="Y59" s="19"/>
    </row>
    <row r="60" spans="1:25" x14ac:dyDescent="0.25">
      <c r="B60" s="2" t="s">
        <v>24</v>
      </c>
      <c r="C60" s="11">
        <v>2604</v>
      </c>
      <c r="D60" s="11">
        <v>3508.333382442755</v>
      </c>
      <c r="E60" s="11">
        <f t="shared" si="7"/>
        <v>2876.3436495497826</v>
      </c>
      <c r="F60" s="11">
        <v>4920305</v>
      </c>
      <c r="G60" s="19">
        <f t="shared" ref="G60:G73" si="8">+E60/F60*1000000</f>
        <v>584.58645339054851</v>
      </c>
      <c r="H60" s="19"/>
      <c r="I60" s="19"/>
      <c r="J60" s="19"/>
      <c r="K60" s="19"/>
      <c r="L60" s="19"/>
      <c r="M60" s="19"/>
      <c r="N60" s="19"/>
      <c r="O60" s="19"/>
      <c r="P60" s="27"/>
      <c r="Q60" s="27"/>
      <c r="R60" s="27"/>
      <c r="S60" s="27"/>
      <c r="T60" s="27"/>
      <c r="U60" s="27"/>
      <c r="V60" s="27"/>
      <c r="W60" s="27"/>
      <c r="X60" s="19"/>
      <c r="Y60" s="19"/>
    </row>
    <row r="61" spans="1:25" x14ac:dyDescent="0.25">
      <c r="B61" s="2" t="s">
        <v>25</v>
      </c>
      <c r="C61" s="11">
        <v>2852</v>
      </c>
      <c r="D61" s="11">
        <v>3877.3852560335513</v>
      </c>
      <c r="E61" s="11">
        <f t="shared" si="7"/>
        <v>2904.7264928479535</v>
      </c>
      <c r="F61" s="11">
        <v>4985870</v>
      </c>
      <c r="G61" s="19">
        <f t="shared" si="8"/>
        <v>582.59170272148162</v>
      </c>
    </row>
    <row r="62" spans="1:25" x14ac:dyDescent="0.25">
      <c r="B62" s="2" t="s">
        <v>26</v>
      </c>
      <c r="C62" s="11">
        <v>3095</v>
      </c>
      <c r="D62" s="11">
        <v>3785.0952681451718</v>
      </c>
      <c r="E62" s="11">
        <f t="shared" si="7"/>
        <v>3213.9851137501932</v>
      </c>
      <c r="F62" s="11">
        <v>5051275</v>
      </c>
      <c r="G62" s="19">
        <f t="shared" si="8"/>
        <v>636.27205284808156</v>
      </c>
    </row>
    <row r="63" spans="1:25" x14ac:dyDescent="0.25">
      <c r="B63" s="2" t="s">
        <v>27</v>
      </c>
      <c r="C63" s="11">
        <v>2912</v>
      </c>
      <c r="D63" s="11">
        <v>3299.1392919553045</v>
      </c>
      <c r="E63" s="11">
        <f t="shared" si="7"/>
        <v>3383.58473391199</v>
      </c>
      <c r="F63" s="11">
        <v>5109056</v>
      </c>
      <c r="G63" s="19">
        <f t="shared" si="8"/>
        <v>662.27199974163329</v>
      </c>
    </row>
    <row r="64" spans="1:25" x14ac:dyDescent="0.25">
      <c r="B64" s="2" t="s">
        <v>28</v>
      </c>
      <c r="C64" s="11">
        <v>3008</v>
      </c>
      <c r="D64" s="11">
        <v>3440.436561196113</v>
      </c>
      <c r="E64" s="11">
        <f t="shared" si="7"/>
        <v>3376.2953735473498</v>
      </c>
      <c r="F64" s="11">
        <v>5165802</v>
      </c>
      <c r="G64" s="19">
        <f t="shared" si="8"/>
        <v>653.58590467605029</v>
      </c>
    </row>
    <row r="65" spans="2:15" x14ac:dyDescent="0.25">
      <c r="B65" s="2" t="s">
        <v>29</v>
      </c>
      <c r="C65" s="11">
        <v>3221</v>
      </c>
      <c r="D65" s="11">
        <v>3601.1612436361056</v>
      </c>
      <c r="E65" s="11">
        <f t="shared" si="7"/>
        <v>3482.7672620062704</v>
      </c>
      <c r="F65" s="11">
        <v>5213985</v>
      </c>
      <c r="G65" s="19">
        <f t="shared" si="8"/>
        <v>667.9664905070249</v>
      </c>
    </row>
    <row r="66" spans="2:15" x14ac:dyDescent="0.25">
      <c r="B66" s="2" t="s">
        <v>30</v>
      </c>
      <c r="C66" s="11">
        <v>3181</v>
      </c>
      <c r="D66" s="11">
        <v>3632.4383258749904</v>
      </c>
      <c r="E66" s="11">
        <f t="shared" si="7"/>
        <v>3415.3785691506037</v>
      </c>
      <c r="F66" s="11">
        <v>5258317</v>
      </c>
      <c r="G66" s="19">
        <f t="shared" si="8"/>
        <v>649.51933653878291</v>
      </c>
    </row>
    <row r="67" spans="2:15" x14ac:dyDescent="0.25">
      <c r="B67" s="2" t="s">
        <v>31</v>
      </c>
      <c r="C67" s="11">
        <v>3397</v>
      </c>
      <c r="D67" s="11">
        <v>3623.6719894123803</v>
      </c>
      <c r="E67" s="11">
        <f t="shared" si="7"/>
        <v>3654.4735047946142</v>
      </c>
      <c r="F67" s="11">
        <v>5295619</v>
      </c>
      <c r="G67" s="19">
        <f t="shared" si="8"/>
        <v>690.09373687846767</v>
      </c>
    </row>
    <row r="68" spans="2:15" x14ac:dyDescent="0.25">
      <c r="B68" s="2" t="s">
        <v>32</v>
      </c>
      <c r="C68" s="11">
        <v>3393</v>
      </c>
      <c r="D68" s="11">
        <v>3618.5232394093928</v>
      </c>
      <c r="E68" s="11">
        <f t="shared" si="7"/>
        <v>3654.3985363357438</v>
      </c>
      <c r="F68" s="11">
        <v>5328212</v>
      </c>
      <c r="G68" s="19">
        <f t="shared" si="8"/>
        <v>685.85832101570736</v>
      </c>
    </row>
    <row r="69" spans="2:15" x14ac:dyDescent="0.25">
      <c r="B69" s="2" t="s">
        <v>33</v>
      </c>
      <c r="C69" s="11">
        <v>2951</v>
      </c>
      <c r="D69" s="11">
        <v>3244.3018655413862</v>
      </c>
      <c r="E69" s="11">
        <f t="shared" si="7"/>
        <v>3476.882275143596</v>
      </c>
      <c r="F69" s="11">
        <v>5367580</v>
      </c>
      <c r="G69" s="19">
        <f t="shared" si="8"/>
        <v>647.75602322528891</v>
      </c>
    </row>
    <row r="70" spans="2:15" x14ac:dyDescent="0.25">
      <c r="B70" s="2" t="s">
        <v>34</v>
      </c>
      <c r="C70" s="11">
        <v>3633</v>
      </c>
      <c r="D70" s="11">
        <v>3690.5568799815028</v>
      </c>
      <c r="E70" s="11">
        <f t="shared" si="7"/>
        <v>3850.697123721372</v>
      </c>
      <c r="F70" s="11">
        <v>5391369</v>
      </c>
      <c r="G70" s="19">
        <f t="shared" si="8"/>
        <v>714.23364338841805</v>
      </c>
    </row>
    <row r="71" spans="2:15" x14ac:dyDescent="0.25">
      <c r="B71" s="2" t="s">
        <v>35</v>
      </c>
      <c r="C71" s="11">
        <v>3427</v>
      </c>
      <c r="D71" s="11">
        <v>3453.6672353877816</v>
      </c>
      <c r="E71" s="11">
        <f t="shared" si="7"/>
        <v>3834.486907127759</v>
      </c>
      <c r="F71" s="11">
        <v>5425270</v>
      </c>
      <c r="G71" s="19">
        <f t="shared" si="8"/>
        <v>706.78268678383904</v>
      </c>
    </row>
    <row r="72" spans="2:15" x14ac:dyDescent="0.25">
      <c r="B72" s="2" t="s">
        <v>36</v>
      </c>
      <c r="C72" s="11">
        <v>3806</v>
      </c>
      <c r="D72" s="11">
        <v>3729.8913480357014</v>
      </c>
      <c r="E72" s="11">
        <f t="shared" si="7"/>
        <v>3999.5488810580187</v>
      </c>
      <c r="F72" s="11">
        <v>5488984</v>
      </c>
      <c r="G72" s="19">
        <f t="shared" si="8"/>
        <v>728.65012560758396</v>
      </c>
    </row>
    <row r="73" spans="2:15" x14ac:dyDescent="0.25">
      <c r="B73" s="35">
        <v>2024</v>
      </c>
      <c r="C73" s="11">
        <v>3660</v>
      </c>
      <c r="D73" s="11">
        <f>+D24</f>
        <v>3435</v>
      </c>
      <c r="E73" s="11">
        <f t="shared" si="7"/>
        <v>4113.4687353048312</v>
      </c>
      <c r="F73" s="11">
        <v>5594300</v>
      </c>
      <c r="G73" s="19">
        <f t="shared" si="8"/>
        <v>735.29641515557455</v>
      </c>
    </row>
    <row r="74" spans="2:15" x14ac:dyDescent="0.25">
      <c r="O74">
        <f>120.07*21+1840.4</f>
        <v>4361.87</v>
      </c>
    </row>
    <row r="92" spans="2:2" x14ac:dyDescent="0.25">
      <c r="B92">
        <f>6.1088*11^2+10.129*11+3394.9</f>
        <v>4245.4838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BB687-6254-4D11-8021-20DE3523F668}">
  <dimension ref="A1:V68"/>
  <sheetViews>
    <sheetView workbookViewId="0">
      <selection activeCell="V35" sqref="V35"/>
    </sheetView>
  </sheetViews>
  <sheetFormatPr baseColWidth="10" defaultColWidth="9.140625" defaultRowHeight="15" x14ac:dyDescent="0.25"/>
  <cols>
    <col min="1" max="1" width="9.140625" customWidth="1"/>
    <col min="2" max="2" width="50.5703125" bestFit="1" customWidth="1"/>
    <col min="3" max="21" width="9.140625" customWidth="1"/>
  </cols>
  <sheetData>
    <row r="1" spans="1:21" ht="18.75" x14ac:dyDescent="0.3">
      <c r="A1" s="1" t="s">
        <v>126</v>
      </c>
    </row>
    <row r="3" spans="1:21" x14ac:dyDescent="0.25">
      <c r="B3" s="2" t="s">
        <v>127</v>
      </c>
      <c r="C3" s="2" t="s">
        <v>18</v>
      </c>
      <c r="D3" s="2" t="s">
        <v>19</v>
      </c>
      <c r="E3" s="2" t="s">
        <v>20</v>
      </c>
      <c r="F3" s="2" t="s">
        <v>21</v>
      </c>
      <c r="G3" s="2" t="s">
        <v>22</v>
      </c>
      <c r="H3" s="2" t="s">
        <v>23</v>
      </c>
      <c r="I3" s="2" t="s">
        <v>24</v>
      </c>
      <c r="J3" s="2" t="s">
        <v>25</v>
      </c>
      <c r="K3" s="2" t="s">
        <v>26</v>
      </c>
      <c r="L3" s="2" t="s">
        <v>27</v>
      </c>
      <c r="M3" s="2" t="s">
        <v>28</v>
      </c>
      <c r="N3" s="2" t="s">
        <v>29</v>
      </c>
      <c r="O3" s="2" t="s">
        <v>30</v>
      </c>
      <c r="P3" s="2" t="s">
        <v>31</v>
      </c>
      <c r="Q3" s="2" t="s">
        <v>32</v>
      </c>
      <c r="R3" s="2" t="s">
        <v>33</v>
      </c>
      <c r="S3" s="2" t="s">
        <v>34</v>
      </c>
      <c r="T3" s="2" t="s">
        <v>35</v>
      </c>
      <c r="U3" s="2" t="s">
        <v>36</v>
      </c>
    </row>
    <row r="4" spans="1:21" x14ac:dyDescent="0.25">
      <c r="B4" s="2" t="s">
        <v>128</v>
      </c>
      <c r="C4" s="19">
        <v>5303</v>
      </c>
      <c r="D4" s="19">
        <v>5022</v>
      </c>
      <c r="E4" s="19">
        <v>5488</v>
      </c>
      <c r="F4" s="19">
        <v>5721</v>
      </c>
      <c r="G4" s="19">
        <v>5420</v>
      </c>
      <c r="H4" s="19">
        <v>4968</v>
      </c>
      <c r="I4" s="19">
        <v>5673</v>
      </c>
      <c r="J4" s="19">
        <v>5997</v>
      </c>
      <c r="K4" s="19">
        <v>5981</v>
      </c>
      <c r="L4" s="19">
        <v>5989</v>
      </c>
      <c r="M4" s="19">
        <v>5941</v>
      </c>
      <c r="N4" s="19">
        <v>6136</v>
      </c>
      <c r="O4" s="19">
        <v>5742</v>
      </c>
      <c r="P4" s="19">
        <v>5235</v>
      </c>
      <c r="Q4" s="19">
        <v>5099</v>
      </c>
      <c r="R4" s="19">
        <v>5005</v>
      </c>
      <c r="S4" s="19">
        <v>4858</v>
      </c>
      <c r="T4" s="19">
        <v>5062</v>
      </c>
      <c r="U4" s="19">
        <v>4286</v>
      </c>
    </row>
    <row r="5" spans="1:21" x14ac:dyDescent="0.25">
      <c r="B5" s="2" t="s">
        <v>129</v>
      </c>
      <c r="C5" s="19">
        <v>2161</v>
      </c>
      <c r="D5" s="19">
        <v>1897</v>
      </c>
      <c r="E5" s="19">
        <v>1675</v>
      </c>
      <c r="F5" s="19">
        <v>1762</v>
      </c>
      <c r="G5" s="19">
        <v>1510</v>
      </c>
      <c r="H5" s="19">
        <v>1409</v>
      </c>
      <c r="I5" s="19">
        <v>1358</v>
      </c>
      <c r="J5" s="19">
        <v>1547</v>
      </c>
      <c r="K5" s="19">
        <v>1497</v>
      </c>
      <c r="L5" s="19">
        <v>1701</v>
      </c>
      <c r="M5" s="19">
        <v>1775</v>
      </c>
      <c r="N5" s="19">
        <v>1751</v>
      </c>
      <c r="O5" s="19">
        <v>1611</v>
      </c>
      <c r="P5" s="19">
        <v>1466</v>
      </c>
      <c r="Q5" s="19">
        <v>1193</v>
      </c>
      <c r="R5" s="19">
        <v>1220</v>
      </c>
      <c r="S5" s="19">
        <v>1059</v>
      </c>
      <c r="T5" s="19">
        <v>1033</v>
      </c>
      <c r="U5" s="19">
        <v>891</v>
      </c>
    </row>
    <row r="6" spans="1:21" x14ac:dyDescent="0.25">
      <c r="B6" s="2" t="s">
        <v>130</v>
      </c>
      <c r="C6" s="19">
        <v>223</v>
      </c>
      <c r="D6" s="19">
        <v>202</v>
      </c>
      <c r="E6" s="19">
        <v>200</v>
      </c>
      <c r="F6" s="19">
        <v>176</v>
      </c>
      <c r="G6" s="19">
        <v>165</v>
      </c>
      <c r="H6" s="19">
        <v>164</v>
      </c>
      <c r="I6" s="19">
        <v>179</v>
      </c>
      <c r="J6" s="19">
        <v>165</v>
      </c>
      <c r="K6" s="19">
        <v>187</v>
      </c>
      <c r="L6" s="19">
        <v>178</v>
      </c>
      <c r="M6" s="19">
        <v>219</v>
      </c>
      <c r="N6" s="19">
        <v>216</v>
      </c>
      <c r="O6" s="19">
        <v>192</v>
      </c>
      <c r="P6" s="19">
        <v>168</v>
      </c>
      <c r="Q6" s="19">
        <v>164</v>
      </c>
      <c r="R6" s="19">
        <v>181</v>
      </c>
      <c r="S6" s="19">
        <v>141</v>
      </c>
      <c r="T6" s="19">
        <v>161</v>
      </c>
      <c r="U6" s="19">
        <v>147</v>
      </c>
    </row>
    <row r="7" spans="1:21" x14ac:dyDescent="0.25">
      <c r="B7" s="2" t="s">
        <v>131</v>
      </c>
      <c r="C7" s="19">
        <v>2003</v>
      </c>
      <c r="D7" s="19">
        <v>2059</v>
      </c>
      <c r="E7" s="19">
        <v>2067</v>
      </c>
      <c r="F7" s="19">
        <v>2006</v>
      </c>
      <c r="G7" s="19">
        <v>1508</v>
      </c>
      <c r="H7" s="19">
        <v>1523</v>
      </c>
      <c r="I7" s="19">
        <v>1713</v>
      </c>
      <c r="J7" s="19">
        <v>1931</v>
      </c>
      <c r="K7" s="19">
        <v>2044</v>
      </c>
      <c r="L7" s="19">
        <v>2093</v>
      </c>
      <c r="M7" s="19">
        <v>2082</v>
      </c>
      <c r="N7" s="19">
        <v>2281</v>
      </c>
      <c r="O7" s="19">
        <v>2385</v>
      </c>
      <c r="P7" s="19">
        <v>2132</v>
      </c>
      <c r="Q7" s="19">
        <v>2058</v>
      </c>
      <c r="R7" s="19">
        <v>2028</v>
      </c>
      <c r="S7" s="19">
        <v>1942</v>
      </c>
      <c r="T7" s="19">
        <v>1981</v>
      </c>
      <c r="U7" s="19">
        <v>1699</v>
      </c>
    </row>
    <row r="8" spans="1:21" x14ac:dyDescent="0.25">
      <c r="B8" s="2" t="s">
        <v>132</v>
      </c>
      <c r="C8" s="19">
        <v>417</v>
      </c>
      <c r="D8" s="19">
        <v>457</v>
      </c>
      <c r="E8" s="19">
        <v>412</v>
      </c>
      <c r="F8" s="19">
        <v>499</v>
      </c>
      <c r="G8" s="19">
        <v>469</v>
      </c>
      <c r="H8" s="19">
        <v>361</v>
      </c>
      <c r="I8" s="19">
        <v>358</v>
      </c>
      <c r="J8" s="19">
        <v>366</v>
      </c>
      <c r="K8" s="19">
        <v>462</v>
      </c>
      <c r="L8" s="19">
        <v>339</v>
      </c>
      <c r="M8" s="19">
        <v>424</v>
      </c>
      <c r="N8" s="19">
        <v>422</v>
      </c>
      <c r="O8" s="19">
        <v>456</v>
      </c>
      <c r="P8" s="19">
        <v>595</v>
      </c>
      <c r="Q8" s="19">
        <v>385</v>
      </c>
      <c r="R8" s="19">
        <v>343</v>
      </c>
      <c r="S8" s="19">
        <v>364</v>
      </c>
      <c r="T8" s="19">
        <v>251</v>
      </c>
      <c r="U8" s="19">
        <v>257</v>
      </c>
    </row>
    <row r="9" spans="1:21" x14ac:dyDescent="0.25">
      <c r="B9" s="2" t="s">
        <v>133</v>
      </c>
      <c r="C9" s="19">
        <v>28</v>
      </c>
      <c r="D9" s="19">
        <v>22</v>
      </c>
      <c r="E9" s="19">
        <v>22</v>
      </c>
      <c r="F9" s="19">
        <v>11</v>
      </c>
      <c r="G9" s="19">
        <v>17</v>
      </c>
      <c r="H9" s="19">
        <v>13</v>
      </c>
      <c r="I9" s="19">
        <v>12</v>
      </c>
      <c r="J9" s="19">
        <v>16</v>
      </c>
      <c r="K9" s="19">
        <v>18</v>
      </c>
      <c r="L9" s="19">
        <v>20</v>
      </c>
      <c r="M9" s="19">
        <v>7</v>
      </c>
      <c r="N9" s="19">
        <v>18</v>
      </c>
      <c r="O9" s="19">
        <v>23</v>
      </c>
      <c r="P9" s="19">
        <v>16</v>
      </c>
      <c r="Q9" s="19">
        <v>10</v>
      </c>
      <c r="R9" s="19">
        <v>14</v>
      </c>
      <c r="S9" s="19">
        <v>8</v>
      </c>
      <c r="T9" s="19">
        <v>10</v>
      </c>
      <c r="U9" s="19">
        <v>13</v>
      </c>
    </row>
    <row r="10" spans="1:21" x14ac:dyDescent="0.25">
      <c r="B10" s="2" t="s">
        <v>134</v>
      </c>
      <c r="C10" s="19">
        <v>15</v>
      </c>
      <c r="D10" s="19">
        <v>15</v>
      </c>
      <c r="E10" s="19">
        <v>16</v>
      </c>
      <c r="F10" s="19">
        <v>10</v>
      </c>
      <c r="G10" s="19">
        <v>16</v>
      </c>
      <c r="H10" s="19">
        <v>9</v>
      </c>
      <c r="I10" s="19">
        <v>12</v>
      </c>
      <c r="J10" s="19">
        <v>12</v>
      </c>
      <c r="K10" s="19">
        <v>9</v>
      </c>
      <c r="L10" s="19">
        <v>16</v>
      </c>
      <c r="M10" s="19">
        <v>11</v>
      </c>
      <c r="N10" s="19">
        <v>19</v>
      </c>
      <c r="O10" s="19">
        <v>10</v>
      </c>
      <c r="P10" s="19">
        <v>13</v>
      </c>
      <c r="Q10" s="19">
        <v>5</v>
      </c>
      <c r="R10" s="19">
        <v>6</v>
      </c>
      <c r="S10" s="19">
        <v>4</v>
      </c>
      <c r="T10" s="19">
        <v>0</v>
      </c>
      <c r="U10" s="19">
        <v>3</v>
      </c>
    </row>
    <row r="11" spans="1:21" x14ac:dyDescent="0.25">
      <c r="B11" s="2" t="s">
        <v>135</v>
      </c>
      <c r="C11" s="19">
        <v>1886</v>
      </c>
      <c r="D11" s="19">
        <v>1301</v>
      </c>
      <c r="E11" s="19">
        <v>1680</v>
      </c>
      <c r="F11" s="19">
        <v>1300</v>
      </c>
      <c r="G11" s="19">
        <v>984</v>
      </c>
      <c r="H11" s="19">
        <v>841</v>
      </c>
      <c r="I11" s="19">
        <v>1279</v>
      </c>
      <c r="J11" s="19">
        <v>1787</v>
      </c>
      <c r="K11" s="19">
        <v>1669</v>
      </c>
      <c r="L11" s="19">
        <v>1685</v>
      </c>
      <c r="M11" s="19">
        <v>1598</v>
      </c>
      <c r="N11" s="19">
        <v>1780</v>
      </c>
      <c r="O11" s="19">
        <v>1814</v>
      </c>
      <c r="P11" s="19">
        <v>1893</v>
      </c>
      <c r="Q11" s="19">
        <v>1807</v>
      </c>
      <c r="R11" s="19">
        <v>1533</v>
      </c>
      <c r="S11" s="19">
        <v>1546</v>
      </c>
      <c r="T11" s="19">
        <v>1807</v>
      </c>
      <c r="U11" s="19">
        <v>1661</v>
      </c>
    </row>
    <row r="12" spans="1:21" x14ac:dyDescent="0.25">
      <c r="B12" s="2" t="s">
        <v>136</v>
      </c>
      <c r="C12" s="19">
        <v>276</v>
      </c>
      <c r="D12" s="19">
        <v>323</v>
      </c>
      <c r="E12" s="19">
        <v>320</v>
      </c>
      <c r="F12" s="19">
        <v>239</v>
      </c>
      <c r="G12" s="19">
        <v>150</v>
      </c>
      <c r="H12" s="19">
        <v>253</v>
      </c>
      <c r="I12" s="19">
        <v>328</v>
      </c>
      <c r="J12" s="19">
        <v>531</v>
      </c>
      <c r="K12" s="19">
        <v>419</v>
      </c>
      <c r="L12" s="19">
        <v>380</v>
      </c>
      <c r="M12" s="19">
        <v>389</v>
      </c>
      <c r="N12" s="19">
        <v>436</v>
      </c>
      <c r="O12" s="19">
        <v>547</v>
      </c>
      <c r="P12" s="19">
        <v>638</v>
      </c>
      <c r="Q12" s="19">
        <v>531</v>
      </c>
      <c r="R12" s="19">
        <v>501</v>
      </c>
      <c r="S12" s="19">
        <v>499</v>
      </c>
      <c r="T12" s="19">
        <v>495</v>
      </c>
      <c r="U12" s="19">
        <v>342</v>
      </c>
    </row>
    <row r="13" spans="1:21" x14ac:dyDescent="0.25">
      <c r="B13" s="2" t="s">
        <v>137</v>
      </c>
      <c r="C13" s="19">
        <v>207</v>
      </c>
      <c r="D13" s="19">
        <v>147</v>
      </c>
      <c r="E13" s="19">
        <v>168</v>
      </c>
      <c r="F13" s="19">
        <v>148</v>
      </c>
      <c r="G13" s="19">
        <v>108</v>
      </c>
      <c r="H13" s="19">
        <v>106</v>
      </c>
      <c r="I13" s="19">
        <v>69</v>
      </c>
      <c r="J13" s="19">
        <v>153</v>
      </c>
      <c r="K13" s="19">
        <v>138</v>
      </c>
      <c r="L13" s="19">
        <v>61</v>
      </c>
      <c r="M13" s="19">
        <v>25</v>
      </c>
      <c r="N13" s="19">
        <v>16</v>
      </c>
      <c r="O13" s="19">
        <v>54</v>
      </c>
      <c r="P13" s="19">
        <v>32</v>
      </c>
      <c r="Q13" s="19">
        <v>45</v>
      </c>
      <c r="R13" s="19">
        <v>18</v>
      </c>
      <c r="S13" s="19">
        <v>20</v>
      </c>
      <c r="T13" s="19">
        <v>23</v>
      </c>
      <c r="U13" s="19">
        <v>123</v>
      </c>
    </row>
    <row r="14" spans="1:21" x14ac:dyDescent="0.25">
      <c r="B14" s="2" t="s">
        <v>138</v>
      </c>
      <c r="C14" s="19">
        <v>2499</v>
      </c>
      <c r="D14" s="19">
        <v>2344</v>
      </c>
      <c r="E14" s="19">
        <v>2237</v>
      </c>
      <c r="F14" s="19">
        <v>1886</v>
      </c>
      <c r="G14" s="19">
        <v>1294</v>
      </c>
      <c r="H14" s="19">
        <v>1286</v>
      </c>
      <c r="I14" s="19">
        <v>1617</v>
      </c>
      <c r="J14" s="19">
        <v>1470</v>
      </c>
      <c r="K14" s="19">
        <v>1680</v>
      </c>
      <c r="L14" s="19">
        <v>1716</v>
      </c>
      <c r="M14" s="19">
        <v>1796</v>
      </c>
      <c r="N14" s="19">
        <v>2115</v>
      </c>
      <c r="O14" s="19">
        <v>2428</v>
      </c>
      <c r="P14" s="19">
        <v>2217</v>
      </c>
      <c r="Q14" s="19">
        <v>1740</v>
      </c>
      <c r="R14" s="19">
        <v>1669</v>
      </c>
      <c r="S14" s="19">
        <v>1540</v>
      </c>
      <c r="T14" s="19">
        <v>1421</v>
      </c>
      <c r="U14" s="19">
        <v>1341</v>
      </c>
    </row>
    <row r="15" spans="1:21" x14ac:dyDescent="0.25">
      <c r="B15" s="2" t="s">
        <v>139</v>
      </c>
      <c r="C15" s="19">
        <v>1973</v>
      </c>
      <c r="D15" s="19">
        <v>1431</v>
      </c>
      <c r="E15" s="19">
        <v>2242</v>
      </c>
      <c r="F15" s="19">
        <v>1525</v>
      </c>
      <c r="G15" s="19">
        <v>694</v>
      </c>
      <c r="H15" s="19">
        <v>738</v>
      </c>
      <c r="I15" s="19">
        <v>733</v>
      </c>
      <c r="J15" s="19">
        <v>1222</v>
      </c>
      <c r="K15" s="19">
        <v>894</v>
      </c>
      <c r="L15" s="19">
        <v>1073</v>
      </c>
      <c r="M15" s="19">
        <v>1078</v>
      </c>
      <c r="N15" s="19">
        <v>1407</v>
      </c>
      <c r="O15" s="19">
        <v>1262</v>
      </c>
      <c r="P15" s="19">
        <v>1153</v>
      </c>
      <c r="Q15" s="19">
        <v>1122</v>
      </c>
      <c r="R15" s="19">
        <v>984</v>
      </c>
      <c r="S15" s="19">
        <v>834</v>
      </c>
      <c r="T15" s="19">
        <v>978</v>
      </c>
      <c r="U15" s="19">
        <v>875</v>
      </c>
    </row>
    <row r="16" spans="1:21" x14ac:dyDescent="0.25">
      <c r="B16" s="2" t="s">
        <v>140</v>
      </c>
      <c r="C16" s="19">
        <v>4016</v>
      </c>
      <c r="D16" s="19">
        <v>4779</v>
      </c>
      <c r="E16" s="19">
        <v>5154</v>
      </c>
      <c r="F16" s="19">
        <v>4462</v>
      </c>
      <c r="G16" s="19">
        <v>2806</v>
      </c>
      <c r="H16" s="19">
        <v>1551</v>
      </c>
      <c r="I16" s="19">
        <v>2646</v>
      </c>
      <c r="J16" s="19">
        <v>3657</v>
      </c>
      <c r="K16" s="19">
        <v>4204</v>
      </c>
      <c r="L16" s="19">
        <v>3897</v>
      </c>
      <c r="M16" s="19">
        <v>3781</v>
      </c>
      <c r="N16" s="19">
        <v>3824</v>
      </c>
      <c r="O16" s="19">
        <v>3833</v>
      </c>
      <c r="P16" s="19">
        <v>3745</v>
      </c>
      <c r="Q16" s="19">
        <v>3800</v>
      </c>
      <c r="R16" s="19">
        <v>3463</v>
      </c>
      <c r="S16" s="19">
        <v>3155</v>
      </c>
      <c r="T16" s="19">
        <v>3272</v>
      </c>
      <c r="U16" s="19">
        <v>4025</v>
      </c>
    </row>
    <row r="17" spans="1:22" x14ac:dyDescent="0.25">
      <c r="B17" s="2" t="s">
        <v>141</v>
      </c>
      <c r="C17" s="19">
        <v>5090</v>
      </c>
      <c r="D17" s="19">
        <v>6223</v>
      </c>
      <c r="E17" s="19">
        <v>6523</v>
      </c>
      <c r="F17" s="19">
        <v>5958</v>
      </c>
      <c r="G17" s="19">
        <v>4042</v>
      </c>
      <c r="H17" s="19">
        <v>2247</v>
      </c>
      <c r="I17" s="19">
        <v>1664</v>
      </c>
      <c r="J17" s="19">
        <v>4520</v>
      </c>
      <c r="K17" s="19">
        <v>4489</v>
      </c>
      <c r="L17" s="19">
        <v>4915</v>
      </c>
      <c r="M17" s="19">
        <v>4453</v>
      </c>
      <c r="N17" s="19">
        <v>5161</v>
      </c>
      <c r="O17" s="19">
        <v>6568</v>
      </c>
      <c r="P17" s="19">
        <v>8199</v>
      </c>
      <c r="Q17" s="19">
        <v>8042</v>
      </c>
      <c r="R17" s="19">
        <v>7433</v>
      </c>
      <c r="S17" s="19">
        <v>8240</v>
      </c>
      <c r="T17" s="19">
        <v>6691</v>
      </c>
      <c r="U17" s="19">
        <v>8324</v>
      </c>
    </row>
    <row r="18" spans="1:22" x14ac:dyDescent="0.25">
      <c r="B18" s="2" t="s">
        <v>142</v>
      </c>
      <c r="C18" s="19">
        <v>472</v>
      </c>
      <c r="D18" s="19">
        <v>141</v>
      </c>
      <c r="E18" s="19">
        <v>177</v>
      </c>
      <c r="F18" s="19">
        <v>241</v>
      </c>
      <c r="G18" s="19">
        <v>181</v>
      </c>
      <c r="H18" s="19">
        <v>127</v>
      </c>
      <c r="I18" s="19">
        <v>113</v>
      </c>
      <c r="J18" s="19">
        <v>115</v>
      </c>
      <c r="K18" s="19">
        <v>97</v>
      </c>
      <c r="L18" s="19">
        <v>141</v>
      </c>
      <c r="M18" s="19">
        <v>41</v>
      </c>
      <c r="N18" s="19">
        <v>139</v>
      </c>
      <c r="O18" s="19">
        <v>57</v>
      </c>
      <c r="P18" s="19">
        <v>116</v>
      </c>
      <c r="Q18" s="19">
        <v>96</v>
      </c>
      <c r="R18" s="19">
        <v>70</v>
      </c>
      <c r="S18" s="19">
        <v>38</v>
      </c>
      <c r="T18" s="19">
        <v>32</v>
      </c>
      <c r="U18" s="19">
        <v>70</v>
      </c>
    </row>
    <row r="19" spans="1:22" x14ac:dyDescent="0.25">
      <c r="B19" s="2" t="s">
        <v>143</v>
      </c>
      <c r="C19" s="19">
        <v>403</v>
      </c>
      <c r="D19" s="19">
        <v>258</v>
      </c>
      <c r="E19" s="19">
        <v>480</v>
      </c>
      <c r="F19" s="19">
        <v>677</v>
      </c>
      <c r="G19" s="19">
        <v>327</v>
      </c>
      <c r="H19" s="19">
        <v>279</v>
      </c>
      <c r="I19" s="19">
        <v>365</v>
      </c>
      <c r="J19" s="19">
        <v>602</v>
      </c>
      <c r="K19" s="19">
        <v>439</v>
      </c>
      <c r="L19" s="19">
        <v>645</v>
      </c>
      <c r="M19" s="19">
        <v>589</v>
      </c>
      <c r="N19" s="19">
        <v>352</v>
      </c>
      <c r="O19" s="19">
        <v>436</v>
      </c>
      <c r="P19" s="19">
        <v>865</v>
      </c>
      <c r="Q19" s="19">
        <v>295</v>
      </c>
      <c r="R19" s="19">
        <v>445</v>
      </c>
      <c r="S19" s="19">
        <v>447</v>
      </c>
      <c r="T19" s="19">
        <v>384</v>
      </c>
      <c r="U19" s="19">
        <v>782</v>
      </c>
    </row>
    <row r="20" spans="1:22" x14ac:dyDescent="0.25">
      <c r="B20" s="2" t="s">
        <v>144</v>
      </c>
      <c r="C20" s="19">
        <v>754</v>
      </c>
      <c r="D20" s="19">
        <v>815</v>
      </c>
      <c r="E20" s="19">
        <v>816</v>
      </c>
      <c r="F20" s="19">
        <v>851</v>
      </c>
      <c r="G20" s="19">
        <v>644</v>
      </c>
      <c r="H20" s="19">
        <v>371</v>
      </c>
      <c r="I20" s="19">
        <v>138</v>
      </c>
      <c r="J20" s="19">
        <v>434</v>
      </c>
      <c r="K20" s="19">
        <v>1039</v>
      </c>
      <c r="L20" s="19">
        <v>874</v>
      </c>
      <c r="M20" s="19">
        <v>921</v>
      </c>
      <c r="N20" s="19">
        <v>809</v>
      </c>
      <c r="O20" s="19">
        <v>1464</v>
      </c>
      <c r="P20" s="19">
        <v>2256</v>
      </c>
      <c r="Q20" s="19">
        <v>1541</v>
      </c>
      <c r="R20" s="19">
        <v>1469</v>
      </c>
      <c r="S20" s="19">
        <v>1813</v>
      </c>
      <c r="T20" s="19">
        <v>2482</v>
      </c>
      <c r="U20" s="19">
        <v>2267</v>
      </c>
    </row>
    <row r="21" spans="1:22" x14ac:dyDescent="0.25">
      <c r="B21" s="2" t="s">
        <v>145</v>
      </c>
      <c r="C21" s="19">
        <v>510</v>
      </c>
      <c r="D21" s="19">
        <v>133</v>
      </c>
      <c r="E21" s="19">
        <v>113</v>
      </c>
      <c r="F21" s="19">
        <v>155</v>
      </c>
      <c r="G21" s="19">
        <v>147</v>
      </c>
      <c r="H21" s="19">
        <v>172</v>
      </c>
      <c r="I21" s="19">
        <v>100</v>
      </c>
      <c r="J21" s="19">
        <v>428</v>
      </c>
      <c r="K21" s="19">
        <v>224</v>
      </c>
      <c r="L21" s="19">
        <v>143</v>
      </c>
      <c r="M21" s="19">
        <v>175</v>
      </c>
      <c r="N21" s="19">
        <v>205</v>
      </c>
      <c r="O21" s="19">
        <v>134</v>
      </c>
      <c r="P21" s="19">
        <v>267</v>
      </c>
      <c r="Q21" s="19">
        <v>236</v>
      </c>
      <c r="R21" s="19">
        <v>608</v>
      </c>
      <c r="S21" s="19">
        <v>241</v>
      </c>
      <c r="T21" s="19">
        <v>298</v>
      </c>
      <c r="U21" s="19">
        <v>74</v>
      </c>
    </row>
    <row r="22" spans="1:22" x14ac:dyDescent="0.25">
      <c r="B22" s="2" t="s">
        <v>146</v>
      </c>
      <c r="C22" s="19">
        <v>501</v>
      </c>
      <c r="D22" s="19">
        <v>75</v>
      </c>
      <c r="E22" s="19">
        <v>177</v>
      </c>
      <c r="F22" s="19">
        <v>114</v>
      </c>
      <c r="G22" s="19">
        <v>374</v>
      </c>
      <c r="H22" s="19">
        <v>516</v>
      </c>
      <c r="I22" s="19">
        <v>1239</v>
      </c>
      <c r="J22" s="19">
        <v>352</v>
      </c>
      <c r="K22" s="19">
        <v>2024</v>
      </c>
      <c r="L22" s="19">
        <v>1108</v>
      </c>
      <c r="M22" s="19">
        <v>1831</v>
      </c>
      <c r="N22" s="19">
        <v>1509</v>
      </c>
      <c r="O22" s="19">
        <v>1215</v>
      </c>
      <c r="P22" s="19">
        <v>765</v>
      </c>
      <c r="Q22" s="19">
        <v>1360</v>
      </c>
      <c r="R22" s="19">
        <v>1493</v>
      </c>
      <c r="S22" s="19">
        <v>1176</v>
      </c>
      <c r="T22" s="19">
        <v>1024</v>
      </c>
      <c r="U22" s="19">
        <v>306</v>
      </c>
    </row>
    <row r="23" spans="1:22" x14ac:dyDescent="0.25">
      <c r="B23" s="2" t="s">
        <v>147</v>
      </c>
      <c r="C23" s="19">
        <v>116</v>
      </c>
      <c r="D23" s="19">
        <v>100</v>
      </c>
      <c r="E23" s="19">
        <v>127</v>
      </c>
      <c r="F23" s="19">
        <v>119</v>
      </c>
      <c r="G23" s="19">
        <v>143</v>
      </c>
      <c r="H23" s="19">
        <v>96</v>
      </c>
      <c r="I23" s="19">
        <v>78</v>
      </c>
      <c r="J23" s="19">
        <v>171</v>
      </c>
      <c r="K23" s="19">
        <v>219</v>
      </c>
      <c r="L23" s="19">
        <v>86</v>
      </c>
      <c r="M23" s="19">
        <v>170</v>
      </c>
      <c r="N23" s="19">
        <v>191</v>
      </c>
      <c r="O23" s="19">
        <v>234</v>
      </c>
      <c r="P23" s="19">
        <v>251</v>
      </c>
      <c r="Q23" s="19">
        <v>119</v>
      </c>
      <c r="R23" s="19">
        <v>252</v>
      </c>
      <c r="S23" s="19">
        <v>77</v>
      </c>
      <c r="T23" s="19">
        <v>104</v>
      </c>
      <c r="U23" s="19">
        <v>23</v>
      </c>
    </row>
    <row r="24" spans="1:22" x14ac:dyDescent="0.25">
      <c r="B24" s="2" t="s">
        <v>148</v>
      </c>
      <c r="C24" s="19">
        <v>691</v>
      </c>
      <c r="D24" s="19">
        <v>810</v>
      </c>
      <c r="E24" s="19">
        <v>876</v>
      </c>
      <c r="F24" s="19">
        <v>780</v>
      </c>
      <c r="G24" s="19">
        <v>784</v>
      </c>
      <c r="H24" s="19">
        <v>802</v>
      </c>
      <c r="I24" s="19">
        <v>372</v>
      </c>
      <c r="J24" s="19">
        <v>791</v>
      </c>
      <c r="K24" s="19">
        <v>763</v>
      </c>
      <c r="L24" s="19">
        <v>1040</v>
      </c>
      <c r="M24" s="19">
        <v>831</v>
      </c>
      <c r="N24" s="19">
        <v>607</v>
      </c>
      <c r="O24" s="19">
        <v>1092</v>
      </c>
      <c r="P24" s="19">
        <v>822</v>
      </c>
      <c r="Q24" s="19">
        <v>725</v>
      </c>
      <c r="R24" s="19">
        <v>869</v>
      </c>
      <c r="S24" s="19">
        <v>395</v>
      </c>
      <c r="T24" s="19">
        <v>547</v>
      </c>
      <c r="U24" s="19">
        <v>466</v>
      </c>
    </row>
    <row r="25" spans="1:22" x14ac:dyDescent="0.25">
      <c r="B25" s="2" t="s">
        <v>149</v>
      </c>
      <c r="C25" s="11">
        <f t="shared" ref="C25:U25" si="0">+C4+C5+C6+C7+C8+C9+C10+C11+C12+C13+C14</f>
        <v>15018</v>
      </c>
      <c r="D25" s="11">
        <f t="shared" si="0"/>
        <v>13789</v>
      </c>
      <c r="E25" s="11">
        <f t="shared" si="0"/>
        <v>14285</v>
      </c>
      <c r="F25" s="11">
        <f t="shared" si="0"/>
        <v>13758</v>
      </c>
      <c r="G25" s="11">
        <f t="shared" si="0"/>
        <v>11641</v>
      </c>
      <c r="H25" s="11">
        <f t="shared" si="0"/>
        <v>10933</v>
      </c>
      <c r="I25" s="11">
        <f t="shared" si="0"/>
        <v>12598</v>
      </c>
      <c r="J25" s="11">
        <f t="shared" si="0"/>
        <v>13975</v>
      </c>
      <c r="K25" s="11">
        <f t="shared" si="0"/>
        <v>14104</v>
      </c>
      <c r="L25" s="11">
        <f t="shared" si="0"/>
        <v>14178</v>
      </c>
      <c r="M25" s="11">
        <f t="shared" si="0"/>
        <v>14267</v>
      </c>
      <c r="N25" s="11">
        <f t="shared" si="0"/>
        <v>15190</v>
      </c>
      <c r="O25" s="11">
        <f t="shared" si="0"/>
        <v>15262</v>
      </c>
      <c r="P25" s="11">
        <f t="shared" si="0"/>
        <v>14405</v>
      </c>
      <c r="Q25" s="11">
        <f t="shared" si="0"/>
        <v>13037</v>
      </c>
      <c r="R25" s="11">
        <f t="shared" si="0"/>
        <v>12518</v>
      </c>
      <c r="S25" s="11">
        <f t="shared" si="0"/>
        <v>11981</v>
      </c>
      <c r="T25" s="11">
        <f t="shared" si="0"/>
        <v>12244</v>
      </c>
      <c r="U25" s="11">
        <f t="shared" si="0"/>
        <v>10763</v>
      </c>
    </row>
    <row r="26" spans="1:22" x14ac:dyDescent="0.25">
      <c r="B26" s="2" t="s">
        <v>150</v>
      </c>
      <c r="C26" s="11">
        <f>+SUM(C15:C20)</f>
        <v>12708</v>
      </c>
      <c r="D26" s="11">
        <f t="shared" ref="D26:U26" si="1">+SUM(D15:D20)</f>
        <v>13647</v>
      </c>
      <c r="E26" s="11">
        <f t="shared" si="1"/>
        <v>15392</v>
      </c>
      <c r="F26" s="11">
        <f t="shared" si="1"/>
        <v>13714</v>
      </c>
      <c r="G26" s="11">
        <f>+SUM(G15:G20)</f>
        <v>8694</v>
      </c>
      <c r="H26" s="11">
        <f t="shared" si="1"/>
        <v>5313</v>
      </c>
      <c r="I26" s="11">
        <f t="shared" si="1"/>
        <v>5659</v>
      </c>
      <c r="J26" s="11">
        <f t="shared" si="1"/>
        <v>10550</v>
      </c>
      <c r="K26" s="11">
        <f t="shared" si="1"/>
        <v>11162</v>
      </c>
      <c r="L26" s="11">
        <f t="shared" si="1"/>
        <v>11545</v>
      </c>
      <c r="M26" s="11">
        <f t="shared" si="1"/>
        <v>10863</v>
      </c>
      <c r="N26" s="11">
        <f t="shared" si="1"/>
        <v>11692</v>
      </c>
      <c r="O26" s="11">
        <f t="shared" si="1"/>
        <v>13620</v>
      </c>
      <c r="P26" s="11">
        <f t="shared" si="1"/>
        <v>16334</v>
      </c>
      <c r="Q26" s="11">
        <f t="shared" si="1"/>
        <v>14896</v>
      </c>
      <c r="R26" s="11">
        <f t="shared" si="1"/>
        <v>13864</v>
      </c>
      <c r="S26" s="11">
        <f t="shared" si="1"/>
        <v>14527</v>
      </c>
      <c r="T26" s="11">
        <f t="shared" si="1"/>
        <v>13839</v>
      </c>
      <c r="U26" s="11">
        <f t="shared" si="1"/>
        <v>16343</v>
      </c>
    </row>
    <row r="29" spans="1:22" ht="18.75" x14ac:dyDescent="0.3">
      <c r="A29" s="1" t="s">
        <v>151</v>
      </c>
    </row>
    <row r="31" spans="1:22" x14ac:dyDescent="0.25">
      <c r="D31" s="2" t="s">
        <v>19</v>
      </c>
      <c r="E31" s="2" t="s">
        <v>20</v>
      </c>
      <c r="F31" s="2" t="s">
        <v>21</v>
      </c>
      <c r="G31" s="2" t="s">
        <v>22</v>
      </c>
      <c r="H31" s="2" t="s">
        <v>23</v>
      </c>
      <c r="I31" s="2" t="s">
        <v>24</v>
      </c>
      <c r="J31" s="2" t="s">
        <v>25</v>
      </c>
      <c r="K31" s="2" t="s">
        <v>26</v>
      </c>
      <c r="L31" s="2" t="s">
        <v>27</v>
      </c>
      <c r="M31" s="2" t="s">
        <v>28</v>
      </c>
      <c r="N31" s="2" t="s">
        <v>29</v>
      </c>
      <c r="O31" s="2" t="s">
        <v>30</v>
      </c>
      <c r="P31" s="2" t="s">
        <v>31</v>
      </c>
      <c r="Q31" s="2" t="s">
        <v>32</v>
      </c>
      <c r="R31" s="2" t="s">
        <v>33</v>
      </c>
      <c r="S31" s="2" t="s">
        <v>34</v>
      </c>
      <c r="T31" s="2" t="s">
        <v>35</v>
      </c>
      <c r="U31" s="2" t="s">
        <v>36</v>
      </c>
      <c r="V31" s="2" t="s">
        <v>58</v>
      </c>
    </row>
    <row r="32" spans="1:22" x14ac:dyDescent="0.25">
      <c r="A32" s="2" t="s">
        <v>60</v>
      </c>
      <c r="B32" s="2" t="s">
        <v>59</v>
      </c>
      <c r="D32" s="11">
        <v>1200816</v>
      </c>
      <c r="E32" s="11">
        <v>1205121</v>
      </c>
      <c r="F32" s="11">
        <v>1207665</v>
      </c>
      <c r="G32" s="11">
        <v>1211431</v>
      </c>
      <c r="H32" s="11">
        <v>1219903</v>
      </c>
      <c r="I32" s="11">
        <v>1223485</v>
      </c>
      <c r="J32" s="11">
        <v>1230074</v>
      </c>
      <c r="K32" s="11">
        <v>1237287</v>
      </c>
      <c r="L32" s="11">
        <v>1244431</v>
      </c>
      <c r="M32" s="11">
        <v>1251315</v>
      </c>
      <c r="N32" s="11">
        <v>1258298</v>
      </c>
      <c r="O32" s="11">
        <v>1265093</v>
      </c>
      <c r="P32" s="11">
        <v>1271158</v>
      </c>
      <c r="Q32" s="11">
        <v>1276690</v>
      </c>
      <c r="R32" s="11">
        <v>1281004</v>
      </c>
      <c r="S32" s="11">
        <v>1285146</v>
      </c>
      <c r="T32" s="11">
        <v>1290003</v>
      </c>
      <c r="U32" s="11">
        <v>1294931</v>
      </c>
      <c r="V32" s="11">
        <v>1299428</v>
      </c>
    </row>
    <row r="33" spans="1:22" x14ac:dyDescent="0.25">
      <c r="B33" s="2" t="s">
        <v>61</v>
      </c>
      <c r="D33" s="11">
        <v>202725</v>
      </c>
      <c r="E33" s="11">
        <v>205388</v>
      </c>
      <c r="F33" s="11">
        <v>207742</v>
      </c>
      <c r="G33" s="11">
        <v>209873</v>
      </c>
      <c r="H33" s="11">
        <v>211596</v>
      </c>
      <c r="I33" s="11">
        <v>213937</v>
      </c>
      <c r="J33" s="11">
        <v>216059</v>
      </c>
      <c r="K33" s="11">
        <v>218266</v>
      </c>
      <c r="L33" s="11">
        <v>220265</v>
      </c>
      <c r="M33" s="11">
        <v>222702</v>
      </c>
      <c r="N33" s="11">
        <v>225132</v>
      </c>
      <c r="O33" s="11">
        <v>227798</v>
      </c>
      <c r="P33" s="11">
        <v>230328</v>
      </c>
      <c r="Q33" s="11">
        <v>232948</v>
      </c>
      <c r="R33" s="11">
        <v>235467</v>
      </c>
      <c r="S33" s="11">
        <v>237818</v>
      </c>
      <c r="T33" s="11">
        <v>239395</v>
      </c>
      <c r="U33" s="11">
        <v>241155</v>
      </c>
      <c r="V33" s="11">
        <v>242593</v>
      </c>
    </row>
    <row r="34" spans="1:22" x14ac:dyDescent="0.25">
      <c r="B34" s="2" t="s">
        <v>62</v>
      </c>
      <c r="D34" s="11">
        <v>250583</v>
      </c>
      <c r="E34" s="11">
        <v>255063</v>
      </c>
      <c r="F34" s="11">
        <v>260315</v>
      </c>
      <c r="G34" s="11">
        <v>264304</v>
      </c>
      <c r="H34" s="11">
        <v>267821</v>
      </c>
      <c r="I34" s="11">
        <v>271304</v>
      </c>
      <c r="J34" s="11">
        <v>275801</v>
      </c>
      <c r="K34" s="11">
        <v>281154</v>
      </c>
      <c r="L34" s="11">
        <v>285141</v>
      </c>
      <c r="M34" s="11">
        <v>288822</v>
      </c>
      <c r="N34" s="11">
        <v>292926</v>
      </c>
      <c r="O34" s="11">
        <v>297409</v>
      </c>
      <c r="P34" s="11">
        <v>302720</v>
      </c>
      <c r="Q34" s="11">
        <v>307910</v>
      </c>
      <c r="R34" s="11">
        <v>311648</v>
      </c>
      <c r="S34" s="11">
        <v>315511</v>
      </c>
      <c r="T34" s="11">
        <v>319652</v>
      </c>
      <c r="U34" s="11">
        <v>324010</v>
      </c>
      <c r="V34" s="11">
        <v>327623</v>
      </c>
    </row>
    <row r="35" spans="1:22" x14ac:dyDescent="0.25">
      <c r="B35" s="2" t="s">
        <v>63</v>
      </c>
      <c r="D35" s="11">
        <v>463172</v>
      </c>
      <c r="E35" s="11">
        <v>478293</v>
      </c>
      <c r="F35" s="11">
        <v>498592</v>
      </c>
      <c r="G35" s="11">
        <v>514481</v>
      </c>
      <c r="H35" s="11">
        <v>522992</v>
      </c>
      <c r="I35" s="11">
        <v>529453</v>
      </c>
      <c r="J35" s="11">
        <v>535509</v>
      </c>
      <c r="K35" s="11">
        <v>548358</v>
      </c>
      <c r="L35" s="11">
        <v>560173</v>
      </c>
      <c r="M35" s="11">
        <v>572914</v>
      </c>
      <c r="N35" s="11">
        <v>585679</v>
      </c>
      <c r="O35" s="11">
        <v>598020</v>
      </c>
      <c r="P35" s="11">
        <v>610742</v>
      </c>
      <c r="Q35" s="11">
        <v>628145</v>
      </c>
      <c r="R35" s="11">
        <v>643631</v>
      </c>
      <c r="S35" s="11">
        <v>655867</v>
      </c>
      <c r="T35" s="11">
        <v>671124</v>
      </c>
      <c r="U35" s="11">
        <v>686238</v>
      </c>
      <c r="V35" s="11">
        <v>702866</v>
      </c>
    </row>
    <row r="36" spans="1:22" x14ac:dyDescent="0.25">
      <c r="B36" s="2" t="s">
        <v>64</v>
      </c>
      <c r="D36" s="11">
        <v>37367</v>
      </c>
      <c r="E36" s="11">
        <v>38694</v>
      </c>
      <c r="F36" s="11">
        <v>40011</v>
      </c>
      <c r="G36" s="11">
        <v>40995</v>
      </c>
      <c r="H36" s="11">
        <v>41195</v>
      </c>
      <c r="I36" s="11">
        <v>43136</v>
      </c>
      <c r="J36" s="11">
        <v>44753</v>
      </c>
      <c r="K36" s="11">
        <v>45974</v>
      </c>
      <c r="L36" s="11">
        <v>49010</v>
      </c>
      <c r="M36" s="11">
        <v>51334</v>
      </c>
      <c r="N36" s="11">
        <v>53227</v>
      </c>
      <c r="O36" s="11">
        <v>55580</v>
      </c>
      <c r="P36" s="11">
        <v>60458</v>
      </c>
      <c r="Q36" s="11">
        <v>61912</v>
      </c>
      <c r="R36" s="11">
        <v>63309</v>
      </c>
      <c r="S36" s="11">
        <v>68479</v>
      </c>
      <c r="T36" s="11">
        <v>70194</v>
      </c>
      <c r="U36" s="11">
        <v>72108</v>
      </c>
      <c r="V36" s="11">
        <v>72572</v>
      </c>
    </row>
    <row r="37" spans="1:22" x14ac:dyDescent="0.25">
      <c r="B37" s="2" t="s">
        <v>65</v>
      </c>
      <c r="D37" s="11">
        <v>60107</v>
      </c>
      <c r="E37" s="11">
        <v>60092</v>
      </c>
      <c r="F37" s="11">
        <v>60037</v>
      </c>
      <c r="G37" s="11">
        <v>59655</v>
      </c>
      <c r="H37" s="11">
        <v>60418</v>
      </c>
      <c r="I37" s="11">
        <v>61695</v>
      </c>
      <c r="J37" s="11">
        <v>66566</v>
      </c>
      <c r="K37" s="11">
        <v>68235</v>
      </c>
      <c r="L37" s="11">
        <v>67747</v>
      </c>
      <c r="M37" s="11">
        <v>69217</v>
      </c>
      <c r="N37" s="11">
        <v>70091</v>
      </c>
      <c r="O37" s="11">
        <v>71689</v>
      </c>
      <c r="P37" s="11">
        <v>72326</v>
      </c>
      <c r="Q37" s="11">
        <v>73550</v>
      </c>
      <c r="R37" s="11">
        <v>74981</v>
      </c>
      <c r="S37" s="11">
        <v>75017</v>
      </c>
      <c r="T37" s="11">
        <v>76139</v>
      </c>
      <c r="U37" s="11">
        <v>75859</v>
      </c>
      <c r="V37" s="11">
        <v>75800</v>
      </c>
    </row>
    <row r="38" spans="1:22" x14ac:dyDescent="0.25">
      <c r="B38" s="2" t="s">
        <v>42</v>
      </c>
      <c r="D38" s="11">
        <f>+SUM(D32:D37)</f>
        <v>2214770</v>
      </c>
      <c r="E38" s="11">
        <f t="shared" ref="E38:V38" si="2">+SUM(E32:E37)</f>
        <v>2242651</v>
      </c>
      <c r="F38" s="11">
        <f t="shared" si="2"/>
        <v>2274362</v>
      </c>
      <c r="G38" s="11">
        <f t="shared" si="2"/>
        <v>2300739</v>
      </c>
      <c r="H38" s="11">
        <f t="shared" si="2"/>
        <v>2323925</v>
      </c>
      <c r="I38" s="11">
        <f t="shared" si="2"/>
        <v>2343010</v>
      </c>
      <c r="J38" s="11">
        <f t="shared" si="2"/>
        <v>2368762</v>
      </c>
      <c r="K38" s="11">
        <f t="shared" si="2"/>
        <v>2399274</v>
      </c>
      <c r="L38" s="11">
        <f t="shared" si="2"/>
        <v>2426767</v>
      </c>
      <c r="M38" s="11">
        <f t="shared" si="2"/>
        <v>2456304</v>
      </c>
      <c r="N38" s="11">
        <f t="shared" si="2"/>
        <v>2485353</v>
      </c>
      <c r="O38" s="11">
        <f t="shared" si="2"/>
        <v>2515589</v>
      </c>
      <c r="P38" s="11">
        <f t="shared" si="2"/>
        <v>2547732</v>
      </c>
      <c r="Q38" s="11">
        <f t="shared" si="2"/>
        <v>2581155</v>
      </c>
      <c r="R38" s="11">
        <f t="shared" si="2"/>
        <v>2610040</v>
      </c>
      <c r="S38" s="11">
        <f t="shared" si="2"/>
        <v>2637838</v>
      </c>
      <c r="T38" s="11">
        <f t="shared" si="2"/>
        <v>2666507</v>
      </c>
      <c r="U38" s="11">
        <f t="shared" si="2"/>
        <v>2694301</v>
      </c>
      <c r="V38" s="11">
        <f t="shared" si="2"/>
        <v>2720882</v>
      </c>
    </row>
    <row r="40" spans="1:22" x14ac:dyDescent="0.25">
      <c r="B40" s="2" t="s">
        <v>152</v>
      </c>
      <c r="E40" s="11">
        <f>+E35-D35</f>
        <v>15121</v>
      </c>
      <c r="F40" s="11">
        <f t="shared" ref="F40:V40" si="3">+F35-E35</f>
        <v>20299</v>
      </c>
      <c r="G40" s="11">
        <f t="shared" si="3"/>
        <v>15889</v>
      </c>
      <c r="H40" s="11">
        <f t="shared" si="3"/>
        <v>8511</v>
      </c>
      <c r="I40" s="11">
        <f t="shared" si="3"/>
        <v>6461</v>
      </c>
      <c r="J40" s="11">
        <f t="shared" si="3"/>
        <v>6056</v>
      </c>
      <c r="K40" s="11">
        <f t="shared" si="3"/>
        <v>12849</v>
      </c>
      <c r="L40" s="11">
        <f t="shared" si="3"/>
        <v>11815</v>
      </c>
      <c r="M40" s="11">
        <f t="shared" si="3"/>
        <v>12741</v>
      </c>
      <c r="N40" s="11">
        <f t="shared" si="3"/>
        <v>12765</v>
      </c>
      <c r="O40" s="11">
        <f t="shared" si="3"/>
        <v>12341</v>
      </c>
      <c r="P40" s="11">
        <f t="shared" si="3"/>
        <v>12722</v>
      </c>
      <c r="Q40" s="11">
        <f t="shared" si="3"/>
        <v>17403</v>
      </c>
      <c r="R40" s="11">
        <f t="shared" si="3"/>
        <v>15486</v>
      </c>
      <c r="S40" s="11">
        <f t="shared" si="3"/>
        <v>12236</v>
      </c>
      <c r="T40" s="11">
        <f t="shared" si="3"/>
        <v>15257</v>
      </c>
      <c r="U40" s="11">
        <f t="shared" si="3"/>
        <v>15114</v>
      </c>
      <c r="V40" s="11">
        <f t="shared" si="3"/>
        <v>16628</v>
      </c>
    </row>
    <row r="47" spans="1:22" x14ac:dyDescent="0.25">
      <c r="A47" t="s">
        <v>80</v>
      </c>
    </row>
    <row r="48" spans="1:22" x14ac:dyDescent="0.25">
      <c r="A48" t="s">
        <v>153</v>
      </c>
    </row>
    <row r="49" spans="1:1" x14ac:dyDescent="0.25">
      <c r="A49" t="s">
        <v>154</v>
      </c>
    </row>
    <row r="50" spans="1:1" x14ac:dyDescent="0.25">
      <c r="A50" t="s">
        <v>81</v>
      </c>
    </row>
    <row r="51" spans="1:1" x14ac:dyDescent="0.25">
      <c r="A51" t="s">
        <v>153</v>
      </c>
    </row>
    <row r="52" spans="1:1" x14ac:dyDescent="0.25">
      <c r="A52" t="s">
        <v>82</v>
      </c>
    </row>
    <row r="54" spans="1:1" x14ac:dyDescent="0.25">
      <c r="A54" t="s">
        <v>83</v>
      </c>
    </row>
    <row r="55" spans="1:1" x14ac:dyDescent="0.25">
      <c r="A55" t="s">
        <v>127</v>
      </c>
    </row>
    <row r="56" spans="1:1" x14ac:dyDescent="0.25">
      <c r="A56" t="s">
        <v>84</v>
      </c>
    </row>
    <row r="62" spans="1:1" x14ac:dyDescent="0.25">
      <c r="A62" t="s">
        <v>85</v>
      </c>
    </row>
    <row r="64" spans="1:1" x14ac:dyDescent="0.25">
      <c r="A64" t="s">
        <v>86</v>
      </c>
    </row>
    <row r="65" spans="1:1" x14ac:dyDescent="0.25">
      <c r="A65" t="s">
        <v>87</v>
      </c>
    </row>
    <row r="67" spans="1:1" x14ac:dyDescent="0.25">
      <c r="A67" t="s">
        <v>88</v>
      </c>
    </row>
    <row r="68" spans="1:1" x14ac:dyDescent="0.25">
      <c r="A68" t="s">
        <v>155</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Word-dokument" ma:contentTypeID="0x01010020E90A4D12608E48937A5DEEE729CC77" ma:contentTypeVersion="20" ma:contentTypeDescription="Opprett et nytt dokument." ma:contentTypeScope="" ma:versionID="ee5be5fa28b8ad190050f30a42b969bb">
  <xsd:schema xmlns:xsd="http://www.w3.org/2001/XMLSchema" xmlns:xs="http://www.w3.org/2001/XMLSchema" xmlns:p="http://schemas.microsoft.com/office/2006/metadata/properties" xmlns:ns2="08670d86-fc33-4f61-bf51-96e019343c8b" xmlns:ns3="5962535c-40bc-41f5-b5e9-fd24d9277899" xmlns:ns4="2b7bd75f-1698-4e88-8161-29e68215e1c6" targetNamespace="http://schemas.microsoft.com/office/2006/metadata/properties" ma:root="true" ma:fieldsID="ba10c24df0cf7913cfd9067ef350a39b" ns2:_="" ns3:_="" ns4:_="">
    <xsd:import namespace="08670d86-fc33-4f61-bf51-96e019343c8b"/>
    <xsd:import namespace="5962535c-40bc-41f5-b5e9-fd24d9277899"/>
    <xsd:import namespace="2b7bd75f-1698-4e88-8161-29e68215e1c6"/>
    <xsd:element name="properties">
      <xsd:complexType>
        <xsd:sequence>
          <xsd:element name="documentManagement">
            <xsd:complexType>
              <xsd:all>
                <xsd:element ref="ns2:TaxCatchAll" minOccurs="0"/>
                <xsd:element ref="ns2:TaxCatchAllLabel" minOccurs="0"/>
                <xsd:element ref="ns2:n3e020d9d98c48dbb65f924b9bc22a2a" minOccurs="0"/>
                <xsd:element ref="ns2:g98ade60b1a5493f9b7127fdb0eec544"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3:MediaServiceDateTaken" minOccurs="0"/>
                <xsd:element ref="ns3:MediaLengthInSeconds" minOccurs="0"/>
                <xsd:element ref="ns3:lcf76f155ced4ddcb4097134ff3c332f" minOccurs="0"/>
                <xsd:element ref="ns3:MediaServiceOCR" minOccurs="0"/>
                <xsd:element ref="ns3:MediaServiceGenerationTime" minOccurs="0"/>
                <xsd:element ref="ns3:MediaServiceEventHashCode"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670d86-fc33-4f61-bf51-96e019343c8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613b9fb9-7451-4238-9c9e-d861c000cf36}" ma:internalName="TaxCatchAll" ma:showField="CatchAllData" ma:web="2b7bd75f-1698-4e88-8161-29e68215e1c6">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613b9fb9-7451-4238-9c9e-d861c000cf36}" ma:internalName="TaxCatchAllLabel" ma:readOnly="true" ma:showField="CatchAllDataLabel" ma:web="2b7bd75f-1698-4e88-8161-29e68215e1c6">
      <xsd:complexType>
        <xsd:complexContent>
          <xsd:extension base="dms:MultiChoiceLookup">
            <xsd:sequence>
              <xsd:element name="Value" type="dms:Lookup" maxOccurs="unbounded" minOccurs="0" nillable="true"/>
            </xsd:sequence>
          </xsd:extension>
        </xsd:complexContent>
      </xsd:complexType>
    </xsd:element>
    <xsd:element name="n3e020d9d98c48dbb65f924b9bc22a2a" ma:index="10" nillable="true" ma:taxonomy="true" ma:internalName="n3e020d9d98c48dbb65f924b9bc22a2a" ma:taxonomyFieldName="NVE_Tema" ma:displayName="NVE tema" ma:default="" ma:fieldId="{73e020d9-d98c-48db-b65f-924b9bc22a2a}" ma:taxonomyMulti="true" ma:sspId="64152832-9f03-4628-8f8a-984f7e09cd82" ma:termSetId="8e6ad744-58b5-4dbb-88a2-80de7c4ff1df" ma:anchorId="00000000-0000-0000-0000-000000000000" ma:open="false" ma:isKeyword="false">
      <xsd:complexType>
        <xsd:sequence>
          <xsd:element ref="pc:Terms" minOccurs="0" maxOccurs="1"/>
        </xsd:sequence>
      </xsd:complexType>
    </xsd:element>
    <xsd:element name="g98ade60b1a5493f9b7127fdb0eec544" ma:index="12" nillable="true" ma:taxonomy="true" ma:internalName="g98ade60b1a5493f9b7127fdb0eec544" ma:taxonomyFieldName="NVE_Dokumenttype" ma:displayName="Dokumenttype" ma:default="" ma:fieldId="{098ade60-b1a5-493f-9b71-27fdb0eec544}" ma:sspId="64152832-9f03-4628-8f8a-984f7e09cd82" ma:termSetId="7a928a34-8131-48a8-82d2-76c63c72cab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62535c-40bc-41f5-b5e9-fd24d9277899"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64152832-9f03-4628-8f8a-984f7e09cd82"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Location" ma:index="26" nillable="true" ma:displayName="Loca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7bd75f-1698-4e88-8161-29e68215e1c6" elementFormDefault="qualified">
    <xsd:import namespace="http://schemas.microsoft.com/office/2006/documentManagement/types"/>
    <xsd:import namespace="http://schemas.microsoft.com/office/infopath/2007/PartnerControls"/>
    <xsd:element name="SharedWithUsers" ma:index="17"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lings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962535c-40bc-41f5-b5e9-fd24d9277899">
      <Terms xmlns="http://schemas.microsoft.com/office/infopath/2007/PartnerControls"/>
    </lcf76f155ced4ddcb4097134ff3c332f>
    <TaxCatchAll xmlns="08670d86-fc33-4f61-bf51-96e019343c8b" xsi:nil="true"/>
    <g98ade60b1a5493f9b7127fdb0eec544 xmlns="08670d86-fc33-4f61-bf51-96e019343c8b">
      <Terms xmlns="http://schemas.microsoft.com/office/infopath/2007/PartnerControls"/>
    </g98ade60b1a5493f9b7127fdb0eec544>
    <n3e020d9d98c48dbb65f924b9bc22a2a xmlns="08670d86-fc33-4f61-bf51-96e019343c8b">
      <Terms xmlns="http://schemas.microsoft.com/office/infopath/2007/PartnerControls"/>
    </n3e020d9d98c48dbb65f924b9bc22a2a>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64152832-9f03-4628-8f8a-984f7e09cd82" ContentTypeId="0x0101" PreviousValue="false"/>
</file>

<file path=customXml/itemProps1.xml><?xml version="1.0" encoding="utf-8"?>
<ds:datastoreItem xmlns:ds="http://schemas.openxmlformats.org/officeDocument/2006/customXml" ds:itemID="{9038654A-F74C-4769-8C11-4AEAB32246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670d86-fc33-4f61-bf51-96e019343c8b"/>
    <ds:schemaRef ds:uri="5962535c-40bc-41f5-b5e9-fd24d9277899"/>
    <ds:schemaRef ds:uri="2b7bd75f-1698-4e88-8161-29e68215e1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A14A9D-0E8F-4360-B6BD-7D08B1DA9F6F}">
  <ds:schemaRefs>
    <ds:schemaRef ds:uri="http://purl.org/dc/elements/1.1/"/>
    <ds:schemaRef ds:uri="http://purl.org/dc/dcmitype/"/>
    <ds:schemaRef ds:uri="http://schemas.microsoft.com/office/2006/metadata/properties"/>
    <ds:schemaRef ds:uri="08670d86-fc33-4f61-bf51-96e019343c8b"/>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2b7bd75f-1698-4e88-8161-29e68215e1c6"/>
    <ds:schemaRef ds:uri="5962535c-40bc-41f5-b5e9-fd24d9277899"/>
    <ds:schemaRef ds:uri="http://purl.org/dc/terms/"/>
  </ds:schemaRefs>
</ds:datastoreItem>
</file>

<file path=customXml/itemProps3.xml><?xml version="1.0" encoding="utf-8"?>
<ds:datastoreItem xmlns:ds="http://schemas.openxmlformats.org/officeDocument/2006/customXml" ds:itemID="{F74C0A43-1C54-41C1-AE3A-4A00B230F311}">
  <ds:schemaRefs>
    <ds:schemaRef ds:uri="http://schemas.microsoft.com/sharepoint/v3/contenttype/forms"/>
  </ds:schemaRefs>
</ds:datastoreItem>
</file>

<file path=customXml/itemProps4.xml><?xml version="1.0" encoding="utf-8"?>
<ds:datastoreItem xmlns:ds="http://schemas.openxmlformats.org/officeDocument/2006/customXml" ds:itemID="{A264123A-4136-4E1D-9A6B-D93F350815D7}">
  <ds:schemaRefs>
    <ds:schemaRef ds:uri="Microsoft.SharePoint.Taxonomy.ContentTypeSync"/>
  </ds:schemaRefs>
</ds:datastoreItem>
</file>

<file path=docMetadata/LabelInfo.xml><?xml version="1.0" encoding="utf-8"?>
<clbl:labelList xmlns:clbl="http://schemas.microsoft.com/office/2020/mipLabelMetadata">
  <clbl:label id="{bc8d840d-60c9-410b-b4fb-11b86806780c}" enabled="0" method="" siteId="{bc8d840d-60c9-410b-b4fb-11b86806780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Vårt 2025</vt:lpstr>
      <vt:lpstr>Elektrisitet</vt:lpstr>
      <vt:lpstr>Bio</vt:lpstr>
      <vt:lpstr>VP</vt:lpstr>
      <vt:lpstr>FV</vt:lpstr>
      <vt:lpstr>Boligbygging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Jørgen Kristoffer Tuset</cp:lastModifiedBy>
  <cp:revision/>
  <dcterms:created xsi:type="dcterms:W3CDTF">2024-10-29T07:16:17Z</dcterms:created>
  <dcterms:modified xsi:type="dcterms:W3CDTF">2026-02-24T14:12:01Z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0x01010020E90A4D12608E48937A5DEEE729CC77</vt:lpwstr>
  </property>
  <property fmtid="{D5CDD505-2E9C-101B-9397-08002B2CF9AE}" pid="3" name="NVE_Tema">
    <vt:lpwstr/>
  </property>
  <property fmtid="{D5CDD505-2E9C-101B-9397-08002B2CF9AE}" pid="4" name="MediaServiceImageTags">
    <vt:lpwstr/>
  </property>
  <property fmtid="{D5CDD505-2E9C-101B-9397-08002B2CF9AE}" pid="5" name="NVE_Dokumenttype">
    <vt:lpwstr/>
  </property>
</Properties>
</file>